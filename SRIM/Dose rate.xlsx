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IT Dropbox\Wande Cairang\XJTU research\Mo-Nb\SRIM\"/>
    </mc:Choice>
  </mc:AlternateContent>
  <xr:revisionPtr revIDLastSave="0" documentId="13_ncr:1_{DFB51B6A-F06B-4FC1-BEE0-B516959140A7}" xr6:coauthVersionLast="47" xr6:coauthVersionMax="47" xr10:uidLastSave="{00000000-0000-0000-0000-000000000000}"/>
  <bookViews>
    <workbookView xWindow="28680" yWindow="-345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6" i="1"/>
  <c r="G16" i="1"/>
  <c r="G22" i="1"/>
  <c r="G23" i="1"/>
  <c r="G24" i="1"/>
  <c r="G25" i="1"/>
  <c r="G54" i="1"/>
  <c r="G55" i="1"/>
  <c r="G56" i="1"/>
  <c r="G57" i="1"/>
  <c r="G86" i="1"/>
  <c r="G87" i="1"/>
  <c r="G88" i="1"/>
  <c r="G89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F17" i="1"/>
  <c r="G17" i="1" s="1"/>
  <c r="F18" i="1"/>
  <c r="G18" i="1" s="1"/>
  <c r="F19" i="1"/>
  <c r="G19" i="1" s="1"/>
  <c r="F20" i="1"/>
  <c r="G20" i="1" s="1"/>
  <c r="F21" i="1"/>
  <c r="G21" i="1" s="1"/>
  <c r="F22" i="1"/>
  <c r="F23" i="1"/>
  <c r="F24" i="1"/>
  <c r="F25" i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F36" i="1"/>
  <c r="F37" i="1"/>
  <c r="F38" i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F55" i="1"/>
  <c r="F56" i="1"/>
  <c r="F57" i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F68" i="1"/>
  <c r="F69" i="1"/>
  <c r="F70" i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F87" i="1"/>
  <c r="F88" i="1"/>
  <c r="F89" i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F100" i="1"/>
  <c r="F101" i="1"/>
  <c r="F102" i="1"/>
  <c r="F103" i="1"/>
  <c r="G103" i="1" s="1"/>
  <c r="F104" i="1"/>
  <c r="G104" i="1" s="1"/>
  <c r="F105" i="1"/>
  <c r="G105" i="1" s="1"/>
  <c r="F6" i="1"/>
  <c r="G6" i="1" s="1"/>
  <c r="K2" i="1"/>
  <c r="K1" i="1"/>
  <c r="G35" i="1" s="1"/>
  <c r="G102" i="1" l="1"/>
  <c r="G70" i="1"/>
  <c r="G38" i="1"/>
  <c r="G101" i="1"/>
  <c r="G69" i="1"/>
  <c r="G37" i="1"/>
  <c r="G100" i="1"/>
  <c r="G68" i="1"/>
  <c r="G36" i="1"/>
  <c r="G99" i="1"/>
  <c r="G67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6" i="1"/>
</calcChain>
</file>

<file path=xl/sharedStrings.xml><?xml version="1.0" encoding="utf-8"?>
<sst xmlns="http://schemas.openxmlformats.org/spreadsheetml/2006/main" count="30" uniqueCount="22">
  <si>
    <t>Dose rate</t>
  </si>
  <si>
    <t>TARGET</t>
  </si>
  <si>
    <t>VACANCIES</t>
  </si>
  <si>
    <t>DEPTH</t>
  </si>
  <si>
    <t>by</t>
  </si>
  <si>
    <t>(Ang.)</t>
  </si>
  <si>
    <t>IONS</t>
  </si>
  <si>
    <t>RECOILS</t>
  </si>
  <si>
    <t>-----------</t>
  </si>
  <si>
    <t>------------</t>
  </si>
  <si>
    <t>Distance in nm</t>
  </si>
  <si>
    <t>fluence</t>
  </si>
  <si>
    <t>atomic volume</t>
  </si>
  <si>
    <t>Vacancy</t>
  </si>
  <si>
    <t>Radiation damage</t>
  </si>
  <si>
    <t>Nb</t>
  </si>
  <si>
    <t>Recoil</t>
  </si>
  <si>
    <t>Ions</t>
  </si>
  <si>
    <t>Distribution</t>
  </si>
  <si>
    <t>----------</t>
  </si>
  <si>
    <t>Nb ions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</si>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</sst>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5"/>
  <sheetViews>
    <sheetView tabSelected="1" workbookViewId="0">
      <selection activeCell="G1" activeCellId="1" sqref="E1:E1048576 G1:G1048576"/>
    </sheetView>
  </sheetViews>
  <sheetFormatPr defaultRowHeight="15" x14ac:dyDescent="0.25"/>
  <cols>
    <col min="1" max="1" width="19.140625" customWidth="1"/>
    <col min="2" max="2" width="9.140625" customWidth="1"/>
    <col min="5" max="5" width="24.7109375" customWidth="1"/>
    <col min="7" max="7" width="16.5703125" customWidth="1"/>
    <col min="10" max="10" width="29.5703125" customWidth="1"/>
  </cols>
  <sheetData>
    <row r="1" spans="1:20" x14ac:dyDescent="0.25">
      <c r="A1" t="s">
        <v>0</v>
      </c>
      <c r="J1" t="s">
        <v>11</v>
      </c>
      <c r="K1">
        <f>4*10^16</f>
        <v>4E+16</v>
      </c>
    </row>
    <row r="2" spans="1:20" x14ac:dyDescent="0.25">
      <c r="A2" t="s">
        <v>1</v>
      </c>
      <c r="B2" t="s">
        <v>2</v>
      </c>
      <c r="C2" t="s">
        <v>2</v>
      </c>
      <c r="J2" t="s">
        <v>12</v>
      </c>
      <c r="K2">
        <f>8.381*10^22</f>
        <v>8.3809999999999995E+22</v>
      </c>
    </row>
    <row r="3" spans="1:20" x14ac:dyDescent="0.25">
      <c r="A3" t="s">
        <v>3</v>
      </c>
      <c r="B3" t="s">
        <v>4</v>
      </c>
      <c r="C3" t="s">
        <v>4</v>
      </c>
      <c r="N3" t="s">
        <v>3</v>
      </c>
      <c r="O3" t="s">
        <v>15</v>
      </c>
      <c r="P3" t="s">
        <v>16</v>
      </c>
    </row>
    <row r="4" spans="1:20" x14ac:dyDescent="0.25">
      <c r="A4" t="s">
        <v>5</v>
      </c>
      <c r="B4" t="s">
        <v>6</v>
      </c>
      <c r="C4" t="s">
        <v>7</v>
      </c>
      <c r="N4" t="s">
        <v>5</v>
      </c>
      <c r="O4" t="s">
        <v>17</v>
      </c>
      <c r="P4" t="s">
        <v>18</v>
      </c>
    </row>
    <row r="5" spans="1:20" x14ac:dyDescent="0.25">
      <c r="A5" t="s">
        <v>8</v>
      </c>
      <c r="B5" t="s">
        <v>8</v>
      </c>
      <c r="C5" t="s">
        <v>9</v>
      </c>
      <c r="E5" t="s">
        <v>10</v>
      </c>
      <c r="F5" t="s">
        <v>13</v>
      </c>
      <c r="G5" t="s">
        <v>14</v>
      </c>
      <c r="N5" t="s">
        <v>8</v>
      </c>
      <c r="O5" t="s">
        <v>19</v>
      </c>
      <c r="P5" t="s">
        <v>9</v>
      </c>
      <c r="R5" t="s">
        <v>10</v>
      </c>
      <c r="S5" t="s">
        <v>20</v>
      </c>
      <c r="T5" t="s">
        <v>21</v>
      </c>
    </row>
    <row r="6" spans="1:20" x14ac:dyDescent="0.25">
      <c r="A6" s="1">
        <v>50.01</v>
      </c>
      <c r="B6" s="1">
        <v>4.8545600000000001E-2</v>
      </c>
      <c r="C6" s="1">
        <v>1.33901</v>
      </c>
      <c r="E6" s="1">
        <f>A6/10</f>
        <v>5.0009999999999994</v>
      </c>
      <c r="F6" s="1">
        <f>B6+C6</f>
        <v>1.3875556</v>
      </c>
      <c r="G6" s="1">
        <f>F6*10^8*$K$1/$K$2</f>
        <v>66.223868273475716</v>
      </c>
      <c r="N6" s="1">
        <v>50.01</v>
      </c>
      <c r="O6" s="1">
        <v>8631.2999999999993</v>
      </c>
      <c r="P6" s="1">
        <v>0</v>
      </c>
      <c r="R6" s="1">
        <f>N6/10</f>
        <v>5.0009999999999994</v>
      </c>
      <c r="S6" s="1">
        <f>O6</f>
        <v>8631.2999999999993</v>
      </c>
      <c r="T6" s="1">
        <f>S6*$K$1/$K$2*100</f>
        <v>0.41194606848824727</v>
      </c>
    </row>
    <row r="7" spans="1:20" x14ac:dyDescent="0.25">
      <c r="A7" s="1">
        <v>100.01</v>
      </c>
      <c r="B7" s="1">
        <v>5.6277199999999999E-2</v>
      </c>
      <c r="C7" s="1">
        <v>1.56813</v>
      </c>
      <c r="E7" s="1">
        <f t="shared" ref="E7:E70" si="0">A7/10</f>
        <v>10.001000000000001</v>
      </c>
      <c r="F7" s="1">
        <f t="shared" ref="F7:F70" si="1">B7+C7</f>
        <v>1.6244072000000001</v>
      </c>
      <c r="G7" s="1">
        <f t="shared" ref="G7:G70" si="2">F7*10^8*$K$1/$K$2</f>
        <v>77.528084954062763</v>
      </c>
      <c r="N7" s="1">
        <v>100.01</v>
      </c>
      <c r="O7" s="1">
        <v>14124</v>
      </c>
      <c r="P7" s="1">
        <v>0</v>
      </c>
      <c r="R7" s="1">
        <f t="shared" ref="R7:R70" si="3">N7/10</f>
        <v>10.001000000000001</v>
      </c>
      <c r="S7" s="1">
        <f t="shared" ref="S7:S70" si="4">O7</f>
        <v>14124</v>
      </c>
      <c r="T7" s="1">
        <f t="shared" ref="T7:T70" si="5">S7*$K$1/$K$2*100</f>
        <v>0.6740961699081256</v>
      </c>
    </row>
    <row r="8" spans="1:20" x14ac:dyDescent="0.25">
      <c r="A8" s="1">
        <v>150.01</v>
      </c>
      <c r="B8" s="1">
        <v>6.0921099999999999E-2</v>
      </c>
      <c r="C8" s="1">
        <v>1.5891500000000001</v>
      </c>
      <c r="E8" s="1">
        <f t="shared" si="0"/>
        <v>15.000999999999999</v>
      </c>
      <c r="F8" s="1">
        <f t="shared" si="1"/>
        <v>1.6500711000000001</v>
      </c>
      <c r="G8" s="1">
        <f t="shared" si="2"/>
        <v>78.752945949170751</v>
      </c>
      <c r="N8" s="1">
        <v>150.01</v>
      </c>
      <c r="O8" s="1">
        <v>23344</v>
      </c>
      <c r="P8" s="1">
        <v>0</v>
      </c>
      <c r="R8" s="1">
        <f t="shared" si="3"/>
        <v>15.000999999999999</v>
      </c>
      <c r="S8" s="1">
        <f t="shared" si="4"/>
        <v>23344</v>
      </c>
      <c r="T8" s="1">
        <f t="shared" si="5"/>
        <v>1.1141391242095215</v>
      </c>
    </row>
    <row r="9" spans="1:20" x14ac:dyDescent="0.25">
      <c r="A9" s="1">
        <v>200.01</v>
      </c>
      <c r="B9" s="1">
        <v>6.5709100000000006E-2</v>
      </c>
      <c r="C9" s="1">
        <v>1.6807099999999999</v>
      </c>
      <c r="E9" s="1">
        <f t="shared" si="0"/>
        <v>20.000999999999998</v>
      </c>
      <c r="F9" s="1">
        <f t="shared" si="1"/>
        <v>1.7464191</v>
      </c>
      <c r="G9" s="1">
        <f t="shared" si="2"/>
        <v>83.351347094618788</v>
      </c>
      <c r="N9" s="1">
        <v>200.01</v>
      </c>
      <c r="O9" s="1">
        <v>32367</v>
      </c>
      <c r="P9" s="1">
        <v>0</v>
      </c>
      <c r="R9" s="1">
        <f t="shared" si="3"/>
        <v>20.000999999999998</v>
      </c>
      <c r="S9" s="1">
        <f t="shared" si="4"/>
        <v>32367</v>
      </c>
      <c r="T9" s="1">
        <f t="shared" si="5"/>
        <v>1.5447798592053454</v>
      </c>
    </row>
    <row r="10" spans="1:20" x14ac:dyDescent="0.25">
      <c r="A10" s="1">
        <v>250.01</v>
      </c>
      <c r="B10" s="1">
        <v>6.9828200000000007E-2</v>
      </c>
      <c r="C10" s="1">
        <v>1.74169</v>
      </c>
      <c r="E10" s="1">
        <f t="shared" si="0"/>
        <v>25.000999999999998</v>
      </c>
      <c r="F10" s="1">
        <f t="shared" si="1"/>
        <v>1.8115182000000001</v>
      </c>
      <c r="G10" s="1">
        <f t="shared" si="2"/>
        <v>86.458331941295782</v>
      </c>
      <c r="N10" s="1">
        <v>250.01</v>
      </c>
      <c r="O10" s="1">
        <v>39625</v>
      </c>
      <c r="P10" s="1">
        <v>0</v>
      </c>
      <c r="R10" s="1">
        <f t="shared" si="3"/>
        <v>25.000999999999998</v>
      </c>
      <c r="S10" s="1">
        <f t="shared" si="4"/>
        <v>39625</v>
      </c>
      <c r="T10" s="1">
        <f t="shared" si="5"/>
        <v>1.8911824364634293</v>
      </c>
    </row>
    <row r="11" spans="1:20" x14ac:dyDescent="0.25">
      <c r="A11" s="1">
        <v>300.01</v>
      </c>
      <c r="B11" s="1">
        <v>7.2444800000000004E-2</v>
      </c>
      <c r="C11" s="1">
        <v>1.70255</v>
      </c>
      <c r="E11" s="1">
        <f t="shared" si="0"/>
        <v>30.000999999999998</v>
      </c>
      <c r="F11" s="1">
        <f t="shared" si="1"/>
        <v>1.7749948</v>
      </c>
      <c r="G11" s="1">
        <f t="shared" si="2"/>
        <v>84.71517957284334</v>
      </c>
      <c r="N11" s="1">
        <v>300.01</v>
      </c>
      <c r="O11" s="1">
        <v>46982</v>
      </c>
      <c r="P11" s="1">
        <v>0</v>
      </c>
      <c r="R11" s="1">
        <f t="shared" si="3"/>
        <v>30.000999999999998</v>
      </c>
      <c r="S11" s="1">
        <f t="shared" si="4"/>
        <v>46982</v>
      </c>
      <c r="T11" s="1">
        <f t="shared" si="5"/>
        <v>2.2423099868750747</v>
      </c>
    </row>
    <row r="12" spans="1:20" x14ac:dyDescent="0.25">
      <c r="A12" s="1">
        <v>350.01</v>
      </c>
      <c r="B12" s="1">
        <v>7.6103900000000002E-2</v>
      </c>
      <c r="C12" s="1">
        <v>1.7624</v>
      </c>
      <c r="E12" s="1">
        <f t="shared" si="0"/>
        <v>35.000999999999998</v>
      </c>
      <c r="F12" s="1">
        <f t="shared" si="1"/>
        <v>1.8385039000000001</v>
      </c>
      <c r="G12" s="1">
        <f t="shared" si="2"/>
        <v>87.746278487054056</v>
      </c>
      <c r="N12" s="1">
        <v>350.01</v>
      </c>
      <c r="O12" s="1">
        <v>60419</v>
      </c>
      <c r="P12" s="1">
        <v>0</v>
      </c>
      <c r="R12" s="1">
        <f t="shared" si="3"/>
        <v>35.000999999999998</v>
      </c>
      <c r="S12" s="1">
        <f t="shared" si="4"/>
        <v>60419</v>
      </c>
      <c r="T12" s="1">
        <f t="shared" si="5"/>
        <v>2.8836177067175761</v>
      </c>
    </row>
    <row r="13" spans="1:20" x14ac:dyDescent="0.25">
      <c r="A13" s="1">
        <v>400.01</v>
      </c>
      <c r="B13" s="1">
        <v>7.87046E-2</v>
      </c>
      <c r="C13" s="1">
        <v>1.7346900000000001</v>
      </c>
      <c r="E13" s="1">
        <f t="shared" si="0"/>
        <v>40.000999999999998</v>
      </c>
      <c r="F13" s="1">
        <f t="shared" si="1"/>
        <v>1.8133946000000001</v>
      </c>
      <c r="G13" s="1">
        <f t="shared" si="2"/>
        <v>86.547886887006328</v>
      </c>
      <c r="N13" s="1">
        <v>400.01</v>
      </c>
      <c r="O13" s="1">
        <v>68070</v>
      </c>
      <c r="P13" s="1">
        <v>0</v>
      </c>
      <c r="R13" s="1">
        <f t="shared" si="3"/>
        <v>40.000999999999998</v>
      </c>
      <c r="S13" s="1">
        <f t="shared" si="4"/>
        <v>68070</v>
      </c>
      <c r="T13" s="1">
        <f t="shared" si="5"/>
        <v>3.2487769955852528</v>
      </c>
    </row>
    <row r="14" spans="1:20" x14ac:dyDescent="0.25">
      <c r="A14" s="1">
        <v>450.01</v>
      </c>
      <c r="B14" s="1">
        <v>8.0091899999999994E-2</v>
      </c>
      <c r="C14" s="1">
        <v>1.7521199999999999</v>
      </c>
      <c r="E14" s="1">
        <f t="shared" si="0"/>
        <v>45.000999999999998</v>
      </c>
      <c r="F14" s="1">
        <f t="shared" si="1"/>
        <v>1.8322118999999999</v>
      </c>
      <c r="G14" s="1">
        <f t="shared" si="2"/>
        <v>87.445980193294361</v>
      </c>
      <c r="N14" s="1">
        <v>450.01</v>
      </c>
      <c r="O14" s="1">
        <v>80625</v>
      </c>
      <c r="P14" s="1">
        <v>0</v>
      </c>
      <c r="R14" s="1">
        <f t="shared" si="3"/>
        <v>45.000999999999998</v>
      </c>
      <c r="S14" s="1">
        <f t="shared" si="4"/>
        <v>80625</v>
      </c>
      <c r="T14" s="1">
        <f t="shared" si="5"/>
        <v>3.8479895000596587</v>
      </c>
    </row>
    <row r="15" spans="1:20" x14ac:dyDescent="0.25">
      <c r="A15" s="1">
        <v>500.01</v>
      </c>
      <c r="B15" s="1">
        <v>8.1259600000000001E-2</v>
      </c>
      <c r="C15" s="1">
        <v>1.70879</v>
      </c>
      <c r="E15" s="1">
        <f t="shared" si="0"/>
        <v>50.000999999999998</v>
      </c>
      <c r="F15" s="1">
        <f t="shared" si="1"/>
        <v>1.7900496000000001</v>
      </c>
      <c r="G15" s="1">
        <f t="shared" si="2"/>
        <v>85.433700035795255</v>
      </c>
      <c r="N15" s="1">
        <v>500.01</v>
      </c>
      <c r="O15" s="1">
        <v>85235</v>
      </c>
      <c r="P15" s="1">
        <v>0</v>
      </c>
      <c r="R15" s="1">
        <f t="shared" si="3"/>
        <v>50.000999999999998</v>
      </c>
      <c r="S15" s="1">
        <f t="shared" si="4"/>
        <v>85235</v>
      </c>
      <c r="T15" s="1">
        <f t="shared" si="5"/>
        <v>4.0680109772103572</v>
      </c>
    </row>
    <row r="16" spans="1:20" x14ac:dyDescent="0.25">
      <c r="A16" s="1">
        <v>550.01</v>
      </c>
      <c r="B16" s="1">
        <v>8.0642400000000003E-2</v>
      </c>
      <c r="C16" s="1">
        <v>1.6503000000000001</v>
      </c>
      <c r="E16" s="1">
        <f t="shared" si="0"/>
        <v>55.000999999999998</v>
      </c>
      <c r="F16" s="1">
        <f t="shared" si="1"/>
        <v>1.7309424</v>
      </c>
      <c r="G16" s="1">
        <f t="shared" si="2"/>
        <v>82.612690609712445</v>
      </c>
      <c r="N16" s="1">
        <v>550.01</v>
      </c>
      <c r="O16" s="1">
        <v>94651</v>
      </c>
      <c r="P16" s="1">
        <v>0</v>
      </c>
      <c r="R16" s="1">
        <f t="shared" si="3"/>
        <v>55.000999999999998</v>
      </c>
      <c r="S16" s="1">
        <f t="shared" si="4"/>
        <v>94651</v>
      </c>
      <c r="T16" s="1">
        <f t="shared" si="5"/>
        <v>4.517408423815775</v>
      </c>
    </row>
    <row r="17" spans="1:20" x14ac:dyDescent="0.25">
      <c r="A17" s="1">
        <v>600.01</v>
      </c>
      <c r="B17" s="1">
        <v>7.8246499999999997E-2</v>
      </c>
      <c r="C17" s="1">
        <v>1.56467</v>
      </c>
      <c r="E17" s="1">
        <f t="shared" si="0"/>
        <v>60.000999999999998</v>
      </c>
      <c r="F17" s="1">
        <f t="shared" si="1"/>
        <v>1.6429165000000001</v>
      </c>
      <c r="G17" s="1">
        <f t="shared" si="2"/>
        <v>78.411478343873043</v>
      </c>
      <c r="N17" s="1">
        <v>600.01</v>
      </c>
      <c r="O17" s="1">
        <v>96024</v>
      </c>
      <c r="P17" s="1">
        <v>0</v>
      </c>
      <c r="R17" s="1">
        <f t="shared" si="3"/>
        <v>60.000999999999998</v>
      </c>
      <c r="S17" s="1">
        <f t="shared" si="4"/>
        <v>96024</v>
      </c>
      <c r="T17" s="1">
        <f t="shared" si="5"/>
        <v>4.582937596945472</v>
      </c>
    </row>
    <row r="18" spans="1:20" x14ac:dyDescent="0.25">
      <c r="A18" s="1">
        <v>650.01</v>
      </c>
      <c r="B18" s="1">
        <v>7.5705400000000006E-2</v>
      </c>
      <c r="C18" s="1">
        <v>1.4801899999999999</v>
      </c>
      <c r="E18" s="1">
        <f t="shared" si="0"/>
        <v>65.001000000000005</v>
      </c>
      <c r="F18" s="1">
        <f t="shared" si="1"/>
        <v>1.5558953999999998</v>
      </c>
      <c r="G18" s="1">
        <f t="shared" si="2"/>
        <v>74.258222169192209</v>
      </c>
      <c r="N18" s="1">
        <v>650.01</v>
      </c>
      <c r="O18" s="1">
        <v>100050</v>
      </c>
      <c r="P18" s="1">
        <v>0</v>
      </c>
      <c r="R18" s="1">
        <f t="shared" si="3"/>
        <v>65.001000000000005</v>
      </c>
      <c r="S18" s="1">
        <f t="shared" si="4"/>
        <v>100050</v>
      </c>
      <c r="T18" s="1">
        <f t="shared" si="5"/>
        <v>4.7750865051903117</v>
      </c>
    </row>
    <row r="19" spans="1:20" x14ac:dyDescent="0.25">
      <c r="A19" s="1">
        <v>700.01</v>
      </c>
      <c r="B19" s="1">
        <v>7.2862200000000002E-2</v>
      </c>
      <c r="C19" s="1">
        <v>1.3780600000000001</v>
      </c>
      <c r="E19" s="1">
        <f t="shared" si="0"/>
        <v>70.001000000000005</v>
      </c>
      <c r="F19" s="1">
        <f t="shared" si="1"/>
        <v>1.4509222000000002</v>
      </c>
      <c r="G19" s="1">
        <f t="shared" si="2"/>
        <v>69.248166089965409</v>
      </c>
      <c r="N19" s="1">
        <v>700.01</v>
      </c>
      <c r="O19" s="1">
        <v>106030</v>
      </c>
      <c r="P19" s="1">
        <v>0</v>
      </c>
      <c r="R19" s="1">
        <f t="shared" si="3"/>
        <v>70.001000000000005</v>
      </c>
      <c r="S19" s="1">
        <f t="shared" si="4"/>
        <v>106030</v>
      </c>
      <c r="T19" s="1">
        <f t="shared" si="5"/>
        <v>5.0604939744660546</v>
      </c>
    </row>
    <row r="20" spans="1:20" x14ac:dyDescent="0.25">
      <c r="A20" s="1">
        <v>750.01</v>
      </c>
      <c r="B20" s="1">
        <v>7.0312200000000005E-2</v>
      </c>
      <c r="C20" s="1">
        <v>1.3002</v>
      </c>
      <c r="E20" s="1">
        <f t="shared" si="0"/>
        <v>75.001000000000005</v>
      </c>
      <c r="F20" s="1">
        <f t="shared" si="1"/>
        <v>1.3705122000000001</v>
      </c>
      <c r="G20" s="1">
        <f t="shared" si="2"/>
        <v>65.410437895239227</v>
      </c>
      <c r="N20" s="1">
        <v>750.01</v>
      </c>
      <c r="O20" s="1">
        <v>108480</v>
      </c>
      <c r="P20" s="1">
        <v>0</v>
      </c>
      <c r="R20" s="1">
        <f t="shared" si="3"/>
        <v>75.001000000000005</v>
      </c>
      <c r="S20" s="1">
        <f t="shared" si="4"/>
        <v>108480</v>
      </c>
      <c r="T20" s="1">
        <f t="shared" si="5"/>
        <v>5.1774251282663171</v>
      </c>
    </row>
    <row r="21" spans="1:20" x14ac:dyDescent="0.25">
      <c r="A21" s="1">
        <v>800.01</v>
      </c>
      <c r="B21" s="1">
        <v>6.5201200000000001E-2</v>
      </c>
      <c r="C21" s="1">
        <v>1.13046</v>
      </c>
      <c r="E21" s="1">
        <f t="shared" si="0"/>
        <v>80.001000000000005</v>
      </c>
      <c r="F21" s="1">
        <f t="shared" si="1"/>
        <v>1.1956612</v>
      </c>
      <c r="G21" s="1">
        <f t="shared" si="2"/>
        <v>57.065323947023032</v>
      </c>
      <c r="N21" s="1">
        <v>800.01</v>
      </c>
      <c r="O21" s="1">
        <v>108970</v>
      </c>
      <c r="P21" s="1">
        <v>0</v>
      </c>
      <c r="R21" s="1">
        <f t="shared" si="3"/>
        <v>80.001000000000005</v>
      </c>
      <c r="S21" s="1">
        <f t="shared" si="4"/>
        <v>108970</v>
      </c>
      <c r="T21" s="1">
        <f t="shared" si="5"/>
        <v>5.2008113590263694</v>
      </c>
    </row>
    <row r="22" spans="1:20" x14ac:dyDescent="0.25">
      <c r="A22" s="1">
        <v>850.01</v>
      </c>
      <c r="B22" s="1">
        <v>5.89673E-2</v>
      </c>
      <c r="C22" s="1">
        <v>1.03352</v>
      </c>
      <c r="E22" s="1">
        <f t="shared" si="0"/>
        <v>85.001000000000005</v>
      </c>
      <c r="F22" s="1">
        <f t="shared" si="1"/>
        <v>1.0924872999999999</v>
      </c>
      <c r="G22" s="1">
        <f t="shared" si="2"/>
        <v>52.141143061687153</v>
      </c>
      <c r="N22" s="1">
        <v>850.01</v>
      </c>
      <c r="O22" s="1">
        <v>103670</v>
      </c>
      <c r="P22" s="1">
        <v>0</v>
      </c>
      <c r="R22" s="1">
        <f t="shared" si="3"/>
        <v>85.001000000000005</v>
      </c>
      <c r="S22" s="1">
        <f t="shared" si="4"/>
        <v>103670</v>
      </c>
      <c r="T22" s="1">
        <f t="shared" si="5"/>
        <v>4.9478582508053934</v>
      </c>
    </row>
    <row r="23" spans="1:20" x14ac:dyDescent="0.25">
      <c r="A23" s="1">
        <v>900.01</v>
      </c>
      <c r="B23" s="1">
        <v>5.4602699999999997E-2</v>
      </c>
      <c r="C23" s="1">
        <v>0.92505099999999996</v>
      </c>
      <c r="E23" s="1">
        <f t="shared" si="0"/>
        <v>90.001000000000005</v>
      </c>
      <c r="F23" s="1">
        <f t="shared" si="1"/>
        <v>0.97965369999999996</v>
      </c>
      <c r="G23" s="1">
        <f t="shared" si="2"/>
        <v>46.75593365946785</v>
      </c>
      <c r="N23" s="1">
        <v>900.01</v>
      </c>
      <c r="O23" s="1">
        <v>104070</v>
      </c>
      <c r="P23" s="1">
        <v>0</v>
      </c>
      <c r="R23" s="1">
        <f t="shared" si="3"/>
        <v>90.001000000000005</v>
      </c>
      <c r="S23" s="1">
        <f t="shared" si="4"/>
        <v>104070</v>
      </c>
      <c r="T23" s="1">
        <f t="shared" si="5"/>
        <v>4.9669490514258445</v>
      </c>
    </row>
    <row r="24" spans="1:20" x14ac:dyDescent="0.25">
      <c r="A24" s="1">
        <v>950.01</v>
      </c>
      <c r="B24" s="1">
        <v>5.0219199999999999E-2</v>
      </c>
      <c r="C24" s="1">
        <v>0.79860200000000003</v>
      </c>
      <c r="E24" s="1">
        <f t="shared" si="0"/>
        <v>95.001000000000005</v>
      </c>
      <c r="F24" s="1">
        <f t="shared" si="1"/>
        <v>0.84882120000000005</v>
      </c>
      <c r="G24" s="1">
        <f t="shared" si="2"/>
        <v>40.511690729029951</v>
      </c>
      <c r="N24" s="1">
        <v>950.01</v>
      </c>
      <c r="O24" s="1">
        <v>96514</v>
      </c>
      <c r="P24" s="1">
        <v>0</v>
      </c>
      <c r="R24" s="1">
        <f t="shared" si="3"/>
        <v>95.001000000000005</v>
      </c>
      <c r="S24" s="1">
        <f t="shared" si="4"/>
        <v>96514</v>
      </c>
      <c r="T24" s="1">
        <f t="shared" si="5"/>
        <v>4.6063238277055243</v>
      </c>
    </row>
    <row r="25" spans="1:20" x14ac:dyDescent="0.25">
      <c r="A25" s="1">
        <v>1000.01</v>
      </c>
      <c r="B25" s="1">
        <v>4.3692000000000002E-2</v>
      </c>
      <c r="C25" s="1">
        <v>0.68521100000000001</v>
      </c>
      <c r="E25" s="1">
        <f t="shared" si="0"/>
        <v>100.001</v>
      </c>
      <c r="F25" s="1">
        <f t="shared" si="1"/>
        <v>0.72890299999999997</v>
      </c>
      <c r="G25" s="1">
        <f t="shared" si="2"/>
        <v>34.788354611621529</v>
      </c>
      <c r="N25" s="1">
        <v>1000.01</v>
      </c>
      <c r="O25" s="1">
        <v>87883</v>
      </c>
      <c r="P25" s="1">
        <v>0</v>
      </c>
      <c r="R25" s="1">
        <f t="shared" si="3"/>
        <v>100.001</v>
      </c>
      <c r="S25" s="1">
        <f t="shared" si="4"/>
        <v>87883</v>
      </c>
      <c r="T25" s="1">
        <f t="shared" si="5"/>
        <v>4.194392077317743</v>
      </c>
    </row>
    <row r="26" spans="1:20" x14ac:dyDescent="0.25">
      <c r="A26" s="1">
        <v>1050.01</v>
      </c>
      <c r="B26" s="1">
        <v>3.7510799999999997E-2</v>
      </c>
      <c r="C26" s="1">
        <v>0.58303199999999999</v>
      </c>
      <c r="E26" s="1">
        <f t="shared" si="0"/>
        <v>105.001</v>
      </c>
      <c r="F26" s="1">
        <f t="shared" si="1"/>
        <v>0.62054279999999995</v>
      </c>
      <c r="G26" s="1">
        <f t="shared" si="2"/>
        <v>29.616647178141029</v>
      </c>
      <c r="N26" s="1">
        <v>1050.01</v>
      </c>
      <c r="O26" s="1">
        <v>79055</v>
      </c>
      <c r="P26" s="1">
        <v>0</v>
      </c>
      <c r="R26" s="1">
        <f t="shared" si="3"/>
        <v>105.001</v>
      </c>
      <c r="S26" s="1">
        <f t="shared" si="4"/>
        <v>79055</v>
      </c>
      <c r="T26" s="1">
        <f t="shared" si="5"/>
        <v>3.7730581076243892</v>
      </c>
    </row>
    <row r="27" spans="1:20" x14ac:dyDescent="0.25">
      <c r="A27" s="1">
        <v>1100.01</v>
      </c>
      <c r="B27" s="1">
        <v>3.2781400000000002E-2</v>
      </c>
      <c r="C27" s="1">
        <v>0.48793999999999998</v>
      </c>
      <c r="E27" s="1">
        <f t="shared" si="0"/>
        <v>110.001</v>
      </c>
      <c r="F27" s="1">
        <f t="shared" si="1"/>
        <v>0.5207214</v>
      </c>
      <c r="G27" s="1">
        <f t="shared" si="2"/>
        <v>24.852471065505313</v>
      </c>
      <c r="N27" s="1">
        <v>1100.01</v>
      </c>
      <c r="O27" s="1">
        <v>76309</v>
      </c>
      <c r="P27" s="1">
        <v>0</v>
      </c>
      <c r="R27" s="1">
        <f t="shared" si="3"/>
        <v>110.001</v>
      </c>
      <c r="S27" s="1">
        <f t="shared" si="4"/>
        <v>76309</v>
      </c>
      <c r="T27" s="1">
        <f t="shared" si="5"/>
        <v>3.6419997613649917</v>
      </c>
    </row>
    <row r="28" spans="1:20" x14ac:dyDescent="0.25">
      <c r="A28" s="1">
        <v>1150.01</v>
      </c>
      <c r="B28" s="1">
        <v>2.7987499999999998E-2</v>
      </c>
      <c r="C28" s="1">
        <v>0.40287600000000001</v>
      </c>
      <c r="E28" s="1">
        <f t="shared" si="0"/>
        <v>115.001</v>
      </c>
      <c r="F28" s="1">
        <f t="shared" si="1"/>
        <v>0.43086350000000001</v>
      </c>
      <c r="G28" s="1">
        <f t="shared" si="2"/>
        <v>20.563822932824248</v>
      </c>
      <c r="N28" s="1">
        <v>1150.01</v>
      </c>
      <c r="O28" s="1">
        <v>64441</v>
      </c>
      <c r="P28" s="1">
        <v>0</v>
      </c>
      <c r="R28" s="1">
        <f t="shared" si="3"/>
        <v>115.001</v>
      </c>
      <c r="S28" s="1">
        <f t="shared" si="4"/>
        <v>64441</v>
      </c>
      <c r="T28" s="1">
        <f t="shared" si="5"/>
        <v>3.0755757069562106</v>
      </c>
    </row>
    <row r="29" spans="1:20" x14ac:dyDescent="0.25">
      <c r="A29" s="1">
        <v>1200.01</v>
      </c>
      <c r="B29" s="1">
        <v>2.30233E-2</v>
      </c>
      <c r="C29" s="1">
        <v>0.34144400000000003</v>
      </c>
      <c r="E29" s="1">
        <f t="shared" si="0"/>
        <v>120.001</v>
      </c>
      <c r="F29" s="1">
        <f t="shared" si="1"/>
        <v>0.36446730000000005</v>
      </c>
      <c r="G29" s="1">
        <f t="shared" si="2"/>
        <v>17.394931392435275</v>
      </c>
      <c r="N29" s="1">
        <v>1200.01</v>
      </c>
      <c r="O29" s="1">
        <v>55221</v>
      </c>
      <c r="P29" s="1">
        <v>0</v>
      </c>
      <c r="R29" s="1">
        <f t="shared" si="3"/>
        <v>120.001</v>
      </c>
      <c r="S29" s="1">
        <f t="shared" si="4"/>
        <v>55221</v>
      </c>
      <c r="T29" s="1">
        <f t="shared" si="5"/>
        <v>2.6355327526548145</v>
      </c>
    </row>
    <row r="30" spans="1:20" x14ac:dyDescent="0.25">
      <c r="A30" s="1">
        <v>1250.01</v>
      </c>
      <c r="B30" s="1">
        <v>1.9730000000000001E-2</v>
      </c>
      <c r="C30" s="1">
        <v>0.27683799999999997</v>
      </c>
      <c r="E30" s="1">
        <f t="shared" si="0"/>
        <v>125.001</v>
      </c>
      <c r="F30" s="1">
        <f t="shared" si="1"/>
        <v>0.296568</v>
      </c>
      <c r="G30" s="1">
        <f t="shared" si="2"/>
        <v>14.154301396014796</v>
      </c>
      <c r="N30" s="1">
        <v>1250.01</v>
      </c>
      <c r="O30" s="1">
        <v>51788</v>
      </c>
      <c r="P30" s="1">
        <v>0</v>
      </c>
      <c r="R30" s="1">
        <f t="shared" si="3"/>
        <v>125.001</v>
      </c>
      <c r="S30" s="1">
        <f t="shared" si="4"/>
        <v>51788</v>
      </c>
      <c r="T30" s="1">
        <f t="shared" si="5"/>
        <v>2.4716859563297935</v>
      </c>
    </row>
    <row r="31" spans="1:20" x14ac:dyDescent="0.25">
      <c r="A31" s="1">
        <v>1300.01</v>
      </c>
      <c r="B31" s="1">
        <v>1.5753E-2</v>
      </c>
      <c r="C31" s="1">
        <v>0.213778</v>
      </c>
      <c r="E31" s="1">
        <f t="shared" si="0"/>
        <v>130.001</v>
      </c>
      <c r="F31" s="1">
        <f t="shared" si="1"/>
        <v>0.22953099999999999</v>
      </c>
      <c r="G31" s="1">
        <f t="shared" si="2"/>
        <v>10.954826393031858</v>
      </c>
      <c r="N31" s="1">
        <v>1300.01</v>
      </c>
      <c r="O31" s="1">
        <v>43353</v>
      </c>
      <c r="P31" s="1">
        <v>0</v>
      </c>
      <c r="R31" s="1">
        <f t="shared" si="3"/>
        <v>130.001</v>
      </c>
      <c r="S31" s="1">
        <f t="shared" si="4"/>
        <v>43353</v>
      </c>
      <c r="T31" s="1">
        <f t="shared" si="5"/>
        <v>2.0691086982460329</v>
      </c>
    </row>
    <row r="32" spans="1:20" x14ac:dyDescent="0.25">
      <c r="A32" s="1">
        <v>1350.01</v>
      </c>
      <c r="B32" s="1">
        <v>1.2634299999999999E-2</v>
      </c>
      <c r="C32" s="1">
        <v>0.167461</v>
      </c>
      <c r="E32" s="1">
        <f t="shared" si="0"/>
        <v>135.001</v>
      </c>
      <c r="F32" s="1">
        <f t="shared" si="1"/>
        <v>0.18009529999999999</v>
      </c>
      <c r="G32" s="1">
        <f t="shared" si="2"/>
        <v>8.5954086624507831</v>
      </c>
      <c r="N32" s="1">
        <v>1350.01</v>
      </c>
      <c r="O32" s="1">
        <v>34329</v>
      </c>
      <c r="P32" s="1">
        <v>0</v>
      </c>
      <c r="R32" s="1">
        <f t="shared" si="3"/>
        <v>135.001</v>
      </c>
      <c r="S32" s="1">
        <f t="shared" si="4"/>
        <v>34329</v>
      </c>
      <c r="T32" s="1">
        <f t="shared" si="5"/>
        <v>1.638420236248658</v>
      </c>
    </row>
    <row r="33" spans="1:20" x14ac:dyDescent="0.25">
      <c r="A33" s="1">
        <v>1400.01</v>
      </c>
      <c r="B33" s="1">
        <v>9.5906900000000007E-3</v>
      </c>
      <c r="C33" s="1">
        <v>0.12099600000000001</v>
      </c>
      <c r="E33" s="1">
        <f t="shared" si="0"/>
        <v>140.001</v>
      </c>
      <c r="F33" s="1">
        <f t="shared" si="1"/>
        <v>0.13058669000000001</v>
      </c>
      <c r="G33" s="1">
        <f t="shared" si="2"/>
        <v>6.2325111561866127</v>
      </c>
      <c r="N33" s="1">
        <v>1400.01</v>
      </c>
      <c r="O33" s="1">
        <v>29817</v>
      </c>
      <c r="P33" s="1">
        <v>0</v>
      </c>
      <c r="R33" s="1">
        <f t="shared" si="3"/>
        <v>140.001</v>
      </c>
      <c r="S33" s="1">
        <f t="shared" si="4"/>
        <v>29817</v>
      </c>
      <c r="T33" s="1">
        <f t="shared" si="5"/>
        <v>1.4230760052499702</v>
      </c>
    </row>
    <row r="34" spans="1:20" x14ac:dyDescent="0.25">
      <c r="A34" s="1">
        <v>1450.01</v>
      </c>
      <c r="B34" s="1">
        <v>7.2094400000000001E-3</v>
      </c>
      <c r="C34" s="1">
        <v>9.0597200000000003E-2</v>
      </c>
      <c r="E34" s="1">
        <f t="shared" si="0"/>
        <v>145.001</v>
      </c>
      <c r="F34" s="1">
        <f t="shared" si="1"/>
        <v>9.780664E-2</v>
      </c>
      <c r="G34" s="1">
        <f t="shared" si="2"/>
        <v>4.668017658990574</v>
      </c>
      <c r="N34" s="1">
        <v>1450.01</v>
      </c>
      <c r="O34" s="1">
        <v>22363</v>
      </c>
      <c r="P34" s="1">
        <v>0</v>
      </c>
      <c r="R34" s="1">
        <f t="shared" si="3"/>
        <v>145.001</v>
      </c>
      <c r="S34" s="1">
        <f t="shared" si="4"/>
        <v>22363</v>
      </c>
      <c r="T34" s="1">
        <f t="shared" si="5"/>
        <v>1.0673189356878654</v>
      </c>
    </row>
    <row r="35" spans="1:20" x14ac:dyDescent="0.25">
      <c r="A35" s="1">
        <v>1500.01</v>
      </c>
      <c r="B35" s="1">
        <v>5.7916299999999999E-3</v>
      </c>
      <c r="C35" s="1">
        <v>6.8793499999999994E-2</v>
      </c>
      <c r="E35" s="1">
        <f t="shared" si="0"/>
        <v>150.001</v>
      </c>
      <c r="F35" s="1">
        <f t="shared" si="1"/>
        <v>7.4585129999999999E-2</v>
      </c>
      <c r="G35" s="1">
        <f t="shared" si="2"/>
        <v>3.5597246152010502</v>
      </c>
      <c r="N35" s="1">
        <v>1500.01</v>
      </c>
      <c r="O35" s="1">
        <v>15497</v>
      </c>
      <c r="P35" s="1">
        <v>0</v>
      </c>
      <c r="R35" s="1">
        <f t="shared" si="3"/>
        <v>150.001</v>
      </c>
      <c r="S35" s="1">
        <f t="shared" si="4"/>
        <v>15497</v>
      </c>
      <c r="T35" s="1">
        <f t="shared" si="5"/>
        <v>0.73962534303782368</v>
      </c>
    </row>
    <row r="36" spans="1:20" x14ac:dyDescent="0.25">
      <c r="A36" s="1">
        <v>1550.01</v>
      </c>
      <c r="B36" s="1">
        <v>4.1944800000000004E-3</v>
      </c>
      <c r="C36" s="1">
        <v>4.8567199999999998E-2</v>
      </c>
      <c r="E36" s="1">
        <f t="shared" si="0"/>
        <v>155.001</v>
      </c>
      <c r="F36" s="1">
        <f t="shared" si="1"/>
        <v>5.2761679999999998E-2</v>
      </c>
      <c r="G36" s="1">
        <f t="shared" si="2"/>
        <v>2.5181567832000957</v>
      </c>
      <c r="N36" s="1">
        <v>1550.01</v>
      </c>
      <c r="O36" s="1">
        <v>12555</v>
      </c>
      <c r="P36" s="1">
        <v>0</v>
      </c>
      <c r="R36" s="1">
        <f t="shared" si="3"/>
        <v>155.001</v>
      </c>
      <c r="S36" s="1">
        <f t="shared" si="4"/>
        <v>12555</v>
      </c>
      <c r="T36" s="1">
        <f t="shared" si="5"/>
        <v>0.59921250447440644</v>
      </c>
    </row>
    <row r="37" spans="1:20" x14ac:dyDescent="0.25">
      <c r="A37" s="1">
        <v>1600.01</v>
      </c>
      <c r="B37" s="1">
        <v>3.47284E-3</v>
      </c>
      <c r="C37" s="1">
        <v>3.7792100000000002E-2</v>
      </c>
      <c r="E37" s="1">
        <f t="shared" si="0"/>
        <v>160.001</v>
      </c>
      <c r="F37" s="1">
        <f t="shared" si="1"/>
        <v>4.126494E-2</v>
      </c>
      <c r="G37" s="1">
        <f t="shared" si="2"/>
        <v>1.9694518553871854</v>
      </c>
      <c r="N37" s="1">
        <v>1600.01</v>
      </c>
      <c r="O37" s="1">
        <v>10789</v>
      </c>
      <c r="P37" s="1">
        <v>0</v>
      </c>
      <c r="R37" s="1">
        <f t="shared" si="3"/>
        <v>160.001</v>
      </c>
      <c r="S37" s="1">
        <f t="shared" si="4"/>
        <v>10789</v>
      </c>
      <c r="T37" s="1">
        <f t="shared" si="5"/>
        <v>0.51492661973511511</v>
      </c>
    </row>
    <row r="38" spans="1:20" x14ac:dyDescent="0.25">
      <c r="A38" s="1">
        <v>1650.01</v>
      </c>
      <c r="B38" s="1">
        <v>2.6895500000000002E-3</v>
      </c>
      <c r="C38" s="1">
        <v>2.93631E-2</v>
      </c>
      <c r="E38" s="1">
        <f t="shared" si="0"/>
        <v>165.001</v>
      </c>
      <c r="F38" s="1">
        <f t="shared" si="1"/>
        <v>3.2052650000000002E-2</v>
      </c>
      <c r="G38" s="1">
        <f t="shared" si="2"/>
        <v>1.5297768762677486</v>
      </c>
      <c r="N38" s="1">
        <v>1650.01</v>
      </c>
      <c r="O38" s="1">
        <v>8337</v>
      </c>
      <c r="P38" s="1">
        <v>0</v>
      </c>
      <c r="R38" s="1">
        <f t="shared" si="3"/>
        <v>165.001</v>
      </c>
      <c r="S38" s="1">
        <f t="shared" si="4"/>
        <v>8337</v>
      </c>
      <c r="T38" s="1">
        <f t="shared" si="5"/>
        <v>0.3979000119317504</v>
      </c>
    </row>
    <row r="39" spans="1:20" x14ac:dyDescent="0.25">
      <c r="A39" s="1">
        <v>1700.01</v>
      </c>
      <c r="B39" s="1">
        <v>1.79204E-3</v>
      </c>
      <c r="C39" s="1">
        <v>2.0759199999999998E-2</v>
      </c>
      <c r="E39" s="1">
        <f t="shared" si="0"/>
        <v>170.001</v>
      </c>
      <c r="F39" s="1">
        <f t="shared" si="1"/>
        <v>2.255124E-2</v>
      </c>
      <c r="G39" s="1">
        <f t="shared" si="2"/>
        <v>1.0763030664598496</v>
      </c>
      <c r="N39" s="1">
        <v>1700.01</v>
      </c>
      <c r="O39" s="1">
        <v>5786.9</v>
      </c>
      <c r="P39" s="1">
        <v>0</v>
      </c>
      <c r="R39" s="1">
        <f t="shared" si="3"/>
        <v>170.001</v>
      </c>
      <c r="S39" s="1">
        <f t="shared" si="4"/>
        <v>5786.9</v>
      </c>
      <c r="T39" s="1">
        <f t="shared" si="5"/>
        <v>0.27619138527622</v>
      </c>
    </row>
    <row r="40" spans="1:20" x14ac:dyDescent="0.25">
      <c r="A40" s="1">
        <v>1750.01</v>
      </c>
      <c r="B40" s="1">
        <v>1.4554699999999999E-3</v>
      </c>
      <c r="C40" s="1">
        <v>1.55569E-2</v>
      </c>
      <c r="E40" s="1">
        <f t="shared" si="0"/>
        <v>175.001</v>
      </c>
      <c r="F40" s="1">
        <f t="shared" si="1"/>
        <v>1.7012369999999999E-2</v>
      </c>
      <c r="G40" s="1">
        <f t="shared" si="2"/>
        <v>0.81194940937835591</v>
      </c>
      <c r="N40" s="1">
        <v>1750.01</v>
      </c>
      <c r="O40" s="1">
        <v>4413.7</v>
      </c>
      <c r="P40" s="1">
        <v>0</v>
      </c>
      <c r="R40" s="1">
        <f t="shared" si="3"/>
        <v>175.001</v>
      </c>
      <c r="S40" s="1">
        <f t="shared" si="4"/>
        <v>4413.7</v>
      </c>
      <c r="T40" s="1">
        <f t="shared" si="5"/>
        <v>0.21065266674621169</v>
      </c>
    </row>
    <row r="41" spans="1:20" x14ac:dyDescent="0.25">
      <c r="A41" s="1">
        <v>1800.01</v>
      </c>
      <c r="B41" s="1">
        <v>1.28272E-3</v>
      </c>
      <c r="C41" s="1">
        <v>1.2666E-2</v>
      </c>
      <c r="E41" s="1">
        <f t="shared" si="0"/>
        <v>180.001</v>
      </c>
      <c r="F41" s="1">
        <f t="shared" si="1"/>
        <v>1.394872E-2</v>
      </c>
      <c r="G41" s="1">
        <f t="shared" si="2"/>
        <v>0.66573058107624394</v>
      </c>
      <c r="N41" s="1">
        <v>1800.01</v>
      </c>
      <c r="O41" s="1">
        <v>4217.5</v>
      </c>
      <c r="P41" s="1">
        <v>0</v>
      </c>
      <c r="R41" s="1">
        <f t="shared" si="3"/>
        <v>180.001</v>
      </c>
      <c r="S41" s="1">
        <f t="shared" si="4"/>
        <v>4217.5</v>
      </c>
      <c r="T41" s="1">
        <f t="shared" si="5"/>
        <v>0.20128862904188047</v>
      </c>
    </row>
    <row r="42" spans="1:20" x14ac:dyDescent="0.25">
      <c r="A42" s="1">
        <v>1850.01</v>
      </c>
      <c r="B42" s="1">
        <v>8.3396299999999996E-4</v>
      </c>
      <c r="C42" s="1">
        <v>8.6348399999999995E-3</v>
      </c>
      <c r="E42" s="1">
        <f t="shared" si="0"/>
        <v>185.001</v>
      </c>
      <c r="F42" s="1">
        <f t="shared" si="1"/>
        <v>9.4688029999999996E-3</v>
      </c>
      <c r="G42" s="1">
        <f t="shared" si="2"/>
        <v>0.45191757546832118</v>
      </c>
      <c r="N42" s="1">
        <v>1850.01</v>
      </c>
      <c r="O42" s="1">
        <v>2746.3</v>
      </c>
      <c r="P42" s="1">
        <v>0</v>
      </c>
      <c r="R42" s="1">
        <f t="shared" si="3"/>
        <v>185.001</v>
      </c>
      <c r="S42" s="1">
        <f t="shared" si="4"/>
        <v>2746.3</v>
      </c>
      <c r="T42" s="1">
        <f t="shared" si="5"/>
        <v>0.13107266435986159</v>
      </c>
    </row>
    <row r="43" spans="1:20" x14ac:dyDescent="0.25">
      <c r="A43" s="1">
        <v>1900.01</v>
      </c>
      <c r="B43" s="1">
        <v>5.6590099999999995E-4</v>
      </c>
      <c r="C43" s="1">
        <v>6.3537999999999997E-3</v>
      </c>
      <c r="E43" s="1">
        <f t="shared" si="0"/>
        <v>190.001</v>
      </c>
      <c r="F43" s="1">
        <f t="shared" si="1"/>
        <v>6.9197009999999995E-3</v>
      </c>
      <c r="G43" s="1">
        <f t="shared" si="2"/>
        <v>0.33025658036033884</v>
      </c>
      <c r="N43" s="1">
        <v>1900.01</v>
      </c>
      <c r="O43" s="1">
        <v>2059.6999999999998</v>
      </c>
      <c r="P43" s="1">
        <v>0</v>
      </c>
      <c r="R43" s="1">
        <f t="shared" si="3"/>
        <v>190.001</v>
      </c>
      <c r="S43" s="1">
        <f t="shared" si="4"/>
        <v>2059.6999999999998</v>
      </c>
      <c r="T43" s="1">
        <f t="shared" si="5"/>
        <v>9.8303305094857421E-2</v>
      </c>
    </row>
    <row r="44" spans="1:20" x14ac:dyDescent="0.25">
      <c r="A44" s="1">
        <v>1950.01</v>
      </c>
      <c r="B44" s="1">
        <v>3.21668E-4</v>
      </c>
      <c r="C44" s="1">
        <v>3.0455399999999998E-3</v>
      </c>
      <c r="E44" s="1">
        <f t="shared" si="0"/>
        <v>195.001</v>
      </c>
      <c r="F44" s="1">
        <f t="shared" si="1"/>
        <v>3.367208E-3</v>
      </c>
      <c r="G44" s="1">
        <f t="shared" si="2"/>
        <v>0.1607067414389691</v>
      </c>
      <c r="N44" s="1">
        <v>1950.01</v>
      </c>
      <c r="O44" s="1">
        <v>784.66</v>
      </c>
      <c r="P44" s="1">
        <v>0</v>
      </c>
      <c r="R44" s="1">
        <f t="shared" si="3"/>
        <v>195.001</v>
      </c>
      <c r="S44" s="1">
        <f t="shared" si="4"/>
        <v>784.66</v>
      </c>
      <c r="T44" s="1">
        <f t="shared" si="5"/>
        <v>3.7449469037107747E-2</v>
      </c>
    </row>
    <row r="45" spans="1:20" x14ac:dyDescent="0.25">
      <c r="A45" s="1">
        <v>2000.01</v>
      </c>
      <c r="B45" s="1">
        <v>2.7699199999999999E-4</v>
      </c>
      <c r="C45" s="1">
        <v>2.9458800000000001E-3</v>
      </c>
      <c r="E45" s="1">
        <f t="shared" si="0"/>
        <v>200.001</v>
      </c>
      <c r="F45" s="1">
        <f t="shared" si="1"/>
        <v>3.2228719999999999E-3</v>
      </c>
      <c r="G45" s="1">
        <f t="shared" si="2"/>
        <v>0.15381801694308558</v>
      </c>
      <c r="N45" s="1">
        <v>2000.01</v>
      </c>
      <c r="O45" s="1">
        <v>2059.6999999999998</v>
      </c>
      <c r="P45" s="1">
        <v>0</v>
      </c>
      <c r="R45" s="1">
        <f t="shared" si="3"/>
        <v>200.001</v>
      </c>
      <c r="S45" s="1">
        <f t="shared" si="4"/>
        <v>2059.6999999999998</v>
      </c>
      <c r="T45" s="1">
        <f t="shared" si="5"/>
        <v>9.8303305094857421E-2</v>
      </c>
    </row>
    <row r="46" spans="1:20" x14ac:dyDescent="0.25">
      <c r="A46" s="1">
        <v>2050.0100000000002</v>
      </c>
      <c r="B46" s="1">
        <v>1.63812E-4</v>
      </c>
      <c r="C46" s="1">
        <v>1.4962599999999999E-3</v>
      </c>
      <c r="E46" s="1">
        <f t="shared" si="0"/>
        <v>205.00100000000003</v>
      </c>
      <c r="F46" s="1">
        <f t="shared" si="1"/>
        <v>1.6600719999999998E-3</v>
      </c>
      <c r="G46" s="1">
        <f t="shared" si="2"/>
        <v>7.9230258918983401E-2</v>
      </c>
      <c r="N46" s="1">
        <v>2050.0100000000002</v>
      </c>
      <c r="O46" s="1">
        <v>588.49</v>
      </c>
      <c r="P46" s="1">
        <v>0</v>
      </c>
      <c r="R46" s="1">
        <f t="shared" si="3"/>
        <v>205.00100000000003</v>
      </c>
      <c r="S46" s="1">
        <f t="shared" si="4"/>
        <v>588.49</v>
      </c>
      <c r="T46" s="1">
        <f t="shared" si="5"/>
        <v>2.8086863142823056E-2</v>
      </c>
    </row>
    <row r="47" spans="1:20" x14ac:dyDescent="0.25">
      <c r="A47" s="1">
        <v>2100.0100000000002</v>
      </c>
      <c r="B47" s="1">
        <v>7.2474500000000005E-5</v>
      </c>
      <c r="C47" s="1">
        <v>5.4749099999999999E-4</v>
      </c>
      <c r="E47" s="1">
        <f t="shared" si="0"/>
        <v>210.00100000000003</v>
      </c>
      <c r="F47" s="1">
        <f t="shared" si="1"/>
        <v>6.1996550000000005E-4</v>
      </c>
      <c r="G47" s="1">
        <f t="shared" si="2"/>
        <v>2.9589094380145571E-2</v>
      </c>
      <c r="N47" s="1">
        <v>2100.0100000000002</v>
      </c>
      <c r="O47" s="1">
        <v>294.25</v>
      </c>
      <c r="P47" s="1">
        <v>0</v>
      </c>
      <c r="R47" s="1">
        <f t="shared" si="3"/>
        <v>210.00100000000003</v>
      </c>
      <c r="S47" s="1">
        <f t="shared" si="4"/>
        <v>294.25</v>
      </c>
      <c r="T47" s="1">
        <f t="shared" si="5"/>
        <v>1.4043670206419282E-2</v>
      </c>
    </row>
    <row r="48" spans="1:20" x14ac:dyDescent="0.25">
      <c r="A48" s="1">
        <v>2150.0100000000002</v>
      </c>
      <c r="B48" s="1">
        <v>1.1913600000000001E-5</v>
      </c>
      <c r="C48" s="1">
        <v>3.2327199999999998E-5</v>
      </c>
      <c r="E48" s="1">
        <f t="shared" si="0"/>
        <v>215.00100000000003</v>
      </c>
      <c r="F48" s="1">
        <f t="shared" si="1"/>
        <v>4.4240799999999998E-5</v>
      </c>
      <c r="G48" s="1">
        <f t="shared" si="2"/>
        <v>2.1114807302231239E-3</v>
      </c>
      <c r="N48" s="1">
        <v>2150.0100000000002</v>
      </c>
      <c r="O48" s="1">
        <v>98.081999999999994</v>
      </c>
      <c r="P48" s="1">
        <v>0</v>
      </c>
      <c r="R48" s="1">
        <f t="shared" si="3"/>
        <v>215.00100000000003</v>
      </c>
      <c r="S48" s="1">
        <f t="shared" si="4"/>
        <v>98.081999999999994</v>
      </c>
      <c r="T48" s="1">
        <f t="shared" si="5"/>
        <v>4.6811597661376931E-3</v>
      </c>
    </row>
    <row r="49" spans="1:20" x14ac:dyDescent="0.25">
      <c r="A49" s="1">
        <v>2200.0100000000002</v>
      </c>
      <c r="B49" s="1">
        <v>8.9352200000000001E-6</v>
      </c>
      <c r="C49" s="1">
        <v>2.5739799999999999E-4</v>
      </c>
      <c r="E49" s="1">
        <f t="shared" si="0"/>
        <v>220.00100000000003</v>
      </c>
      <c r="F49" s="1">
        <f t="shared" si="1"/>
        <v>2.6633321999999999E-4</v>
      </c>
      <c r="G49" s="1">
        <f t="shared" si="2"/>
        <v>1.2711286004056797E-2</v>
      </c>
      <c r="N49" s="1">
        <v>2200.0100000000002</v>
      </c>
      <c r="O49" s="1">
        <v>0</v>
      </c>
      <c r="P49" s="1">
        <v>0</v>
      </c>
      <c r="R49" s="1">
        <f t="shared" si="3"/>
        <v>220.00100000000003</v>
      </c>
      <c r="S49" s="1">
        <f t="shared" si="4"/>
        <v>0</v>
      </c>
      <c r="T49" s="1">
        <f t="shared" si="5"/>
        <v>0</v>
      </c>
    </row>
    <row r="50" spans="1:20" x14ac:dyDescent="0.25">
      <c r="A50" s="1">
        <v>2250.0100000000002</v>
      </c>
      <c r="B50" s="1">
        <v>1.1913600000000001E-5</v>
      </c>
      <c r="C50" s="1">
        <v>4.3322599999999999E-4</v>
      </c>
      <c r="E50" s="1">
        <f t="shared" si="0"/>
        <v>225.00100000000003</v>
      </c>
      <c r="F50" s="1">
        <f t="shared" si="1"/>
        <v>4.4513959999999998E-4</v>
      </c>
      <c r="G50" s="1">
        <f t="shared" si="2"/>
        <v>2.12451783796683E-2</v>
      </c>
      <c r="N50" s="1">
        <v>2250.0100000000002</v>
      </c>
      <c r="O50" s="1">
        <v>98.081999999999994</v>
      </c>
      <c r="P50" s="1">
        <v>0</v>
      </c>
      <c r="R50" s="1">
        <f t="shared" si="3"/>
        <v>225.00100000000003</v>
      </c>
      <c r="S50" s="1">
        <f t="shared" si="4"/>
        <v>98.081999999999994</v>
      </c>
      <c r="T50" s="1">
        <f t="shared" si="5"/>
        <v>4.6811597661376931E-3</v>
      </c>
    </row>
    <row r="51" spans="1:20" x14ac:dyDescent="0.25">
      <c r="A51" s="1">
        <v>2300.0100000000002</v>
      </c>
      <c r="B51" s="1">
        <v>5.9568100000000001E-6</v>
      </c>
      <c r="C51" s="1">
        <v>1.33288E-5</v>
      </c>
      <c r="E51" s="1">
        <f t="shared" si="0"/>
        <v>230.00100000000003</v>
      </c>
      <c r="F51" s="1">
        <f t="shared" si="1"/>
        <v>1.9285610000000001E-5</v>
      </c>
      <c r="G51" s="1">
        <f t="shared" si="2"/>
        <v>9.204443383844411E-4</v>
      </c>
      <c r="N51" s="1">
        <v>2300.0100000000002</v>
      </c>
      <c r="O51" s="1">
        <v>0</v>
      </c>
      <c r="P51" s="1">
        <v>0</v>
      </c>
      <c r="R51" s="1">
        <f t="shared" si="3"/>
        <v>230.00100000000003</v>
      </c>
      <c r="S51" s="1">
        <f t="shared" si="4"/>
        <v>0</v>
      </c>
      <c r="T51" s="1">
        <f t="shared" si="5"/>
        <v>0</v>
      </c>
    </row>
    <row r="52" spans="1:20" x14ac:dyDescent="0.25">
      <c r="A52" s="1">
        <v>2350.0100000000002</v>
      </c>
      <c r="B52" s="1">
        <v>8.9352200000000001E-6</v>
      </c>
      <c r="C52" s="1">
        <v>6.6012400000000005E-5</v>
      </c>
      <c r="E52" s="1">
        <f t="shared" si="0"/>
        <v>235.00100000000003</v>
      </c>
      <c r="F52" s="1">
        <f t="shared" si="1"/>
        <v>7.4947620000000002E-5</v>
      </c>
      <c r="G52" s="1">
        <f t="shared" si="2"/>
        <v>3.5770251759933186E-3</v>
      </c>
      <c r="N52" s="1">
        <v>2350.0100000000002</v>
      </c>
      <c r="O52" s="1">
        <v>98.081999999999994</v>
      </c>
      <c r="P52" s="1">
        <v>0</v>
      </c>
      <c r="R52" s="1">
        <f t="shared" si="3"/>
        <v>235.00100000000003</v>
      </c>
      <c r="S52" s="1">
        <f t="shared" si="4"/>
        <v>98.081999999999994</v>
      </c>
      <c r="T52" s="1">
        <f t="shared" si="5"/>
        <v>4.6811597661376931E-3</v>
      </c>
    </row>
    <row r="53" spans="1:20" x14ac:dyDescent="0.25">
      <c r="A53" s="1">
        <v>2400.0100000000002</v>
      </c>
      <c r="B53" s="1">
        <v>0</v>
      </c>
      <c r="C53" s="1">
        <v>0</v>
      </c>
      <c r="E53" s="1">
        <f t="shared" si="0"/>
        <v>240.00100000000003</v>
      </c>
      <c r="F53" s="1">
        <f t="shared" si="1"/>
        <v>0</v>
      </c>
      <c r="G53" s="1">
        <f t="shared" si="2"/>
        <v>0</v>
      </c>
      <c r="N53" s="1">
        <v>2400.0100000000002</v>
      </c>
      <c r="O53" s="1">
        <v>0</v>
      </c>
      <c r="P53" s="1">
        <v>0</v>
      </c>
      <c r="R53" s="1">
        <f t="shared" si="3"/>
        <v>240.00100000000003</v>
      </c>
      <c r="S53" s="1">
        <f t="shared" si="4"/>
        <v>0</v>
      </c>
      <c r="T53" s="1">
        <f t="shared" si="5"/>
        <v>0</v>
      </c>
    </row>
    <row r="54" spans="1:20" x14ac:dyDescent="0.25">
      <c r="A54" s="1">
        <v>2450.0100000000002</v>
      </c>
      <c r="B54" s="1">
        <v>0</v>
      </c>
      <c r="C54" s="1">
        <v>0</v>
      </c>
      <c r="E54" s="1">
        <f t="shared" si="0"/>
        <v>245.00100000000003</v>
      </c>
      <c r="F54" s="1">
        <f t="shared" si="1"/>
        <v>0</v>
      </c>
      <c r="G54" s="1">
        <f t="shared" si="2"/>
        <v>0</v>
      </c>
      <c r="N54" s="1">
        <v>2450.0100000000002</v>
      </c>
      <c r="O54" s="1">
        <v>0</v>
      </c>
      <c r="P54" s="1">
        <v>0</v>
      </c>
      <c r="R54" s="1">
        <f t="shared" si="3"/>
        <v>245.00100000000003</v>
      </c>
      <c r="S54" s="1">
        <f t="shared" si="4"/>
        <v>0</v>
      </c>
      <c r="T54" s="1">
        <f t="shared" si="5"/>
        <v>0</v>
      </c>
    </row>
    <row r="55" spans="1:20" x14ac:dyDescent="0.25">
      <c r="A55" s="1">
        <v>2500.0100000000002</v>
      </c>
      <c r="B55" s="1">
        <v>0</v>
      </c>
      <c r="C55" s="1">
        <v>0</v>
      </c>
      <c r="E55" s="1">
        <f t="shared" si="0"/>
        <v>250.00100000000003</v>
      </c>
      <c r="F55" s="1">
        <f t="shared" si="1"/>
        <v>0</v>
      </c>
      <c r="G55" s="1">
        <f t="shared" si="2"/>
        <v>0</v>
      </c>
      <c r="N55" s="1">
        <v>2500.0100000000002</v>
      </c>
      <c r="O55" s="1">
        <v>0</v>
      </c>
      <c r="P55" s="1">
        <v>0</v>
      </c>
      <c r="R55" s="1">
        <f t="shared" si="3"/>
        <v>250.00100000000003</v>
      </c>
      <c r="S55" s="1">
        <f t="shared" si="4"/>
        <v>0</v>
      </c>
      <c r="T55" s="1">
        <f t="shared" si="5"/>
        <v>0</v>
      </c>
    </row>
    <row r="56" spans="1:20" x14ac:dyDescent="0.25">
      <c r="A56" s="1">
        <v>2550.0100000000002</v>
      </c>
      <c r="B56" s="1">
        <v>0</v>
      </c>
      <c r="C56" s="1">
        <v>0</v>
      </c>
      <c r="E56" s="1">
        <f t="shared" si="0"/>
        <v>255.00100000000003</v>
      </c>
      <c r="F56" s="1">
        <f t="shared" si="1"/>
        <v>0</v>
      </c>
      <c r="G56" s="1">
        <f t="shared" si="2"/>
        <v>0</v>
      </c>
      <c r="N56" s="1">
        <v>2550.0100000000002</v>
      </c>
      <c r="O56" s="1">
        <v>0</v>
      </c>
      <c r="P56" s="1">
        <v>0</v>
      </c>
      <c r="R56" s="1">
        <f t="shared" si="3"/>
        <v>255.00100000000003</v>
      </c>
      <c r="S56" s="1">
        <f t="shared" si="4"/>
        <v>0</v>
      </c>
      <c r="T56" s="1">
        <f t="shared" si="5"/>
        <v>0</v>
      </c>
    </row>
    <row r="57" spans="1:20" x14ac:dyDescent="0.25">
      <c r="A57" s="1">
        <v>2600.0100000000002</v>
      </c>
      <c r="B57" s="1">
        <v>0</v>
      </c>
      <c r="C57" s="1">
        <v>0</v>
      </c>
      <c r="E57" s="1">
        <f t="shared" si="0"/>
        <v>260.00100000000003</v>
      </c>
      <c r="F57" s="1">
        <f t="shared" si="1"/>
        <v>0</v>
      </c>
      <c r="G57" s="1">
        <f t="shared" si="2"/>
        <v>0</v>
      </c>
      <c r="N57" s="1">
        <v>2600.0100000000002</v>
      </c>
      <c r="O57" s="1">
        <v>0</v>
      </c>
      <c r="P57" s="1">
        <v>0</v>
      </c>
      <c r="R57" s="1">
        <f t="shared" si="3"/>
        <v>260.00100000000003</v>
      </c>
      <c r="S57" s="1">
        <f t="shared" si="4"/>
        <v>0</v>
      </c>
      <c r="T57" s="1">
        <f t="shared" si="5"/>
        <v>0</v>
      </c>
    </row>
    <row r="58" spans="1:20" x14ac:dyDescent="0.25">
      <c r="A58" s="1">
        <v>2650.01</v>
      </c>
      <c r="B58" s="1">
        <v>0</v>
      </c>
      <c r="C58" s="1">
        <v>0</v>
      </c>
      <c r="E58" s="1">
        <f t="shared" si="0"/>
        <v>265.00100000000003</v>
      </c>
      <c r="F58" s="1">
        <f t="shared" si="1"/>
        <v>0</v>
      </c>
      <c r="G58" s="1">
        <f t="shared" si="2"/>
        <v>0</v>
      </c>
      <c r="N58" s="1">
        <v>2650.01</v>
      </c>
      <c r="O58" s="1">
        <v>0</v>
      </c>
      <c r="P58" s="1">
        <v>0</v>
      </c>
      <c r="R58" s="1">
        <f t="shared" si="3"/>
        <v>265.00100000000003</v>
      </c>
      <c r="S58" s="1">
        <f t="shared" si="4"/>
        <v>0</v>
      </c>
      <c r="T58" s="1">
        <f t="shared" si="5"/>
        <v>0</v>
      </c>
    </row>
    <row r="59" spans="1:20" x14ac:dyDescent="0.25">
      <c r="A59" s="1">
        <v>2700.01</v>
      </c>
      <c r="B59" s="1">
        <v>0</v>
      </c>
      <c r="C59" s="1">
        <v>0</v>
      </c>
      <c r="E59" s="1">
        <f t="shared" si="0"/>
        <v>270.00100000000003</v>
      </c>
      <c r="F59" s="1">
        <f t="shared" si="1"/>
        <v>0</v>
      </c>
      <c r="G59" s="1">
        <f t="shared" si="2"/>
        <v>0</v>
      </c>
      <c r="N59" s="1">
        <v>2700.01</v>
      </c>
      <c r="O59" s="1">
        <v>0</v>
      </c>
      <c r="P59" s="1">
        <v>0</v>
      </c>
      <c r="R59" s="1">
        <f t="shared" si="3"/>
        <v>270.00100000000003</v>
      </c>
      <c r="S59" s="1">
        <f t="shared" si="4"/>
        <v>0</v>
      </c>
      <c r="T59" s="1">
        <f t="shared" si="5"/>
        <v>0</v>
      </c>
    </row>
    <row r="60" spans="1:20" x14ac:dyDescent="0.25">
      <c r="A60" s="1">
        <v>2750.01</v>
      </c>
      <c r="B60" s="1">
        <v>0</v>
      </c>
      <c r="C60" s="1">
        <v>0</v>
      </c>
      <c r="E60" s="1">
        <f t="shared" si="0"/>
        <v>275.00100000000003</v>
      </c>
      <c r="F60" s="1">
        <f t="shared" si="1"/>
        <v>0</v>
      </c>
      <c r="G60" s="1">
        <f t="shared" si="2"/>
        <v>0</v>
      </c>
      <c r="N60" s="1">
        <v>2750.01</v>
      </c>
      <c r="O60" s="1">
        <v>0</v>
      </c>
      <c r="P60" s="1">
        <v>0</v>
      </c>
      <c r="R60" s="1">
        <f t="shared" si="3"/>
        <v>275.00100000000003</v>
      </c>
      <c r="S60" s="1">
        <f t="shared" si="4"/>
        <v>0</v>
      </c>
      <c r="T60" s="1">
        <f t="shared" si="5"/>
        <v>0</v>
      </c>
    </row>
    <row r="61" spans="1:20" x14ac:dyDescent="0.25">
      <c r="A61" s="1">
        <v>2800.01</v>
      </c>
      <c r="B61" s="1">
        <v>0</v>
      </c>
      <c r="C61" s="1">
        <v>0</v>
      </c>
      <c r="E61" s="1">
        <f t="shared" si="0"/>
        <v>280.00100000000003</v>
      </c>
      <c r="F61" s="1">
        <f t="shared" si="1"/>
        <v>0</v>
      </c>
      <c r="G61" s="1">
        <f t="shared" si="2"/>
        <v>0</v>
      </c>
      <c r="N61" s="1">
        <v>2800.01</v>
      </c>
      <c r="O61" s="1">
        <v>0</v>
      </c>
      <c r="P61" s="1">
        <v>0</v>
      </c>
      <c r="R61" s="1">
        <f t="shared" si="3"/>
        <v>280.00100000000003</v>
      </c>
      <c r="S61" s="1">
        <f t="shared" si="4"/>
        <v>0</v>
      </c>
      <c r="T61" s="1">
        <f t="shared" si="5"/>
        <v>0</v>
      </c>
    </row>
    <row r="62" spans="1:20" x14ac:dyDescent="0.25">
      <c r="A62" s="1">
        <v>2850.01</v>
      </c>
      <c r="B62" s="1">
        <v>0</v>
      </c>
      <c r="C62" s="1">
        <v>0</v>
      </c>
      <c r="E62" s="1">
        <f t="shared" si="0"/>
        <v>285.00100000000003</v>
      </c>
      <c r="F62" s="1">
        <f t="shared" si="1"/>
        <v>0</v>
      </c>
      <c r="G62" s="1">
        <f t="shared" si="2"/>
        <v>0</v>
      </c>
      <c r="N62" s="1">
        <v>2850.01</v>
      </c>
      <c r="O62" s="1">
        <v>0</v>
      </c>
      <c r="P62" s="1">
        <v>0</v>
      </c>
      <c r="R62" s="1">
        <f t="shared" si="3"/>
        <v>285.00100000000003</v>
      </c>
      <c r="S62" s="1">
        <f t="shared" si="4"/>
        <v>0</v>
      </c>
      <c r="T62" s="1">
        <f t="shared" si="5"/>
        <v>0</v>
      </c>
    </row>
    <row r="63" spans="1:20" x14ac:dyDescent="0.25">
      <c r="A63" s="1">
        <v>2900.01</v>
      </c>
      <c r="B63" s="1">
        <v>0</v>
      </c>
      <c r="C63" s="1">
        <v>0</v>
      </c>
      <c r="E63" s="1">
        <f t="shared" si="0"/>
        <v>290.00100000000003</v>
      </c>
      <c r="F63" s="1">
        <f t="shared" si="1"/>
        <v>0</v>
      </c>
      <c r="G63" s="1">
        <f t="shared" si="2"/>
        <v>0</v>
      </c>
      <c r="N63" s="1">
        <v>2900.01</v>
      </c>
      <c r="O63" s="1">
        <v>0</v>
      </c>
      <c r="P63" s="1">
        <v>0</v>
      </c>
      <c r="R63" s="1">
        <f t="shared" si="3"/>
        <v>290.00100000000003</v>
      </c>
      <c r="S63" s="1">
        <f t="shared" si="4"/>
        <v>0</v>
      </c>
      <c r="T63" s="1">
        <f t="shared" si="5"/>
        <v>0</v>
      </c>
    </row>
    <row r="64" spans="1:20" x14ac:dyDescent="0.25">
      <c r="A64" s="1">
        <v>2950.01</v>
      </c>
      <c r="B64" s="1">
        <v>0</v>
      </c>
      <c r="C64" s="1">
        <v>0</v>
      </c>
      <c r="E64" s="1">
        <f t="shared" si="0"/>
        <v>295.00100000000003</v>
      </c>
      <c r="F64" s="1">
        <f t="shared" si="1"/>
        <v>0</v>
      </c>
      <c r="G64" s="1">
        <f t="shared" si="2"/>
        <v>0</v>
      </c>
      <c r="N64" s="1">
        <v>2950.01</v>
      </c>
      <c r="O64" s="1">
        <v>0</v>
      </c>
      <c r="P64" s="1">
        <v>0</v>
      </c>
      <c r="R64" s="1">
        <f t="shared" si="3"/>
        <v>295.00100000000003</v>
      </c>
      <c r="S64" s="1">
        <f t="shared" si="4"/>
        <v>0</v>
      </c>
      <c r="T64" s="1">
        <f t="shared" si="5"/>
        <v>0</v>
      </c>
    </row>
    <row r="65" spans="1:20" x14ac:dyDescent="0.25">
      <c r="A65" s="1">
        <v>3000.01</v>
      </c>
      <c r="B65" s="1">
        <v>0</v>
      </c>
      <c r="C65" s="1">
        <v>0</v>
      </c>
      <c r="E65" s="1">
        <f t="shared" si="0"/>
        <v>300.00100000000003</v>
      </c>
      <c r="F65" s="1">
        <f t="shared" si="1"/>
        <v>0</v>
      </c>
      <c r="G65" s="1">
        <f t="shared" si="2"/>
        <v>0</v>
      </c>
      <c r="N65" s="1">
        <v>3000.01</v>
      </c>
      <c r="O65" s="1">
        <v>0</v>
      </c>
      <c r="P65" s="1">
        <v>0</v>
      </c>
      <c r="R65" s="1">
        <f t="shared" si="3"/>
        <v>300.00100000000003</v>
      </c>
      <c r="S65" s="1">
        <f t="shared" si="4"/>
        <v>0</v>
      </c>
      <c r="T65" s="1">
        <f t="shared" si="5"/>
        <v>0</v>
      </c>
    </row>
    <row r="66" spans="1:20" x14ac:dyDescent="0.25">
      <c r="A66" s="1">
        <v>3050.01</v>
      </c>
      <c r="B66" s="1">
        <v>0</v>
      </c>
      <c r="C66" s="1">
        <v>0</v>
      </c>
      <c r="E66" s="1">
        <f t="shared" si="0"/>
        <v>305.00100000000003</v>
      </c>
      <c r="F66" s="1">
        <f t="shared" si="1"/>
        <v>0</v>
      </c>
      <c r="G66" s="1">
        <f t="shared" si="2"/>
        <v>0</v>
      </c>
      <c r="N66" s="1">
        <v>3050.01</v>
      </c>
      <c r="O66" s="1">
        <v>0</v>
      </c>
      <c r="P66" s="1">
        <v>0</v>
      </c>
      <c r="R66" s="1">
        <f t="shared" si="3"/>
        <v>305.00100000000003</v>
      </c>
      <c r="S66" s="1">
        <f t="shared" si="4"/>
        <v>0</v>
      </c>
      <c r="T66" s="1">
        <f t="shared" si="5"/>
        <v>0</v>
      </c>
    </row>
    <row r="67" spans="1:20" x14ac:dyDescent="0.25">
      <c r="A67" s="1">
        <v>3100.01</v>
      </c>
      <c r="B67" s="1">
        <v>0</v>
      </c>
      <c r="C67" s="1">
        <v>0</v>
      </c>
      <c r="E67" s="1">
        <f t="shared" si="0"/>
        <v>310.00100000000003</v>
      </c>
      <c r="F67" s="1">
        <f t="shared" si="1"/>
        <v>0</v>
      </c>
      <c r="G67" s="1">
        <f t="shared" si="2"/>
        <v>0</v>
      </c>
      <c r="N67" s="1">
        <v>3100.01</v>
      </c>
      <c r="O67" s="1">
        <v>0</v>
      </c>
      <c r="P67" s="1">
        <v>0</v>
      </c>
      <c r="R67" s="1">
        <f t="shared" si="3"/>
        <v>310.00100000000003</v>
      </c>
      <c r="S67" s="1">
        <f t="shared" si="4"/>
        <v>0</v>
      </c>
      <c r="T67" s="1">
        <f t="shared" si="5"/>
        <v>0</v>
      </c>
    </row>
    <row r="68" spans="1:20" x14ac:dyDescent="0.25">
      <c r="A68" s="1">
        <v>3150.01</v>
      </c>
      <c r="B68" s="1">
        <v>0</v>
      </c>
      <c r="C68" s="1">
        <v>0</v>
      </c>
      <c r="E68" s="1">
        <f t="shared" si="0"/>
        <v>315.00100000000003</v>
      </c>
      <c r="F68" s="1">
        <f t="shared" si="1"/>
        <v>0</v>
      </c>
      <c r="G68" s="1">
        <f t="shared" si="2"/>
        <v>0</v>
      </c>
      <c r="N68" s="1">
        <v>3150.01</v>
      </c>
      <c r="O68" s="1">
        <v>0</v>
      </c>
      <c r="P68" s="1">
        <v>0</v>
      </c>
      <c r="R68" s="1">
        <f t="shared" si="3"/>
        <v>315.00100000000003</v>
      </c>
      <c r="S68" s="1">
        <f t="shared" si="4"/>
        <v>0</v>
      </c>
      <c r="T68" s="1">
        <f t="shared" si="5"/>
        <v>0</v>
      </c>
    </row>
    <row r="69" spans="1:20" x14ac:dyDescent="0.25">
      <c r="A69" s="1">
        <v>3200.01</v>
      </c>
      <c r="B69" s="1">
        <v>0</v>
      </c>
      <c r="C69" s="1">
        <v>0</v>
      </c>
      <c r="E69" s="1">
        <f t="shared" si="0"/>
        <v>320.00100000000003</v>
      </c>
      <c r="F69" s="1">
        <f t="shared" si="1"/>
        <v>0</v>
      </c>
      <c r="G69" s="1">
        <f t="shared" si="2"/>
        <v>0</v>
      </c>
      <c r="N69" s="1">
        <v>3200.01</v>
      </c>
      <c r="O69" s="1">
        <v>0</v>
      </c>
      <c r="P69" s="1">
        <v>0</v>
      </c>
      <c r="R69" s="1">
        <f t="shared" si="3"/>
        <v>320.00100000000003</v>
      </c>
      <c r="S69" s="1">
        <f t="shared" si="4"/>
        <v>0</v>
      </c>
      <c r="T69" s="1">
        <f t="shared" si="5"/>
        <v>0</v>
      </c>
    </row>
    <row r="70" spans="1:20" x14ac:dyDescent="0.25">
      <c r="A70" s="1">
        <v>3250.01</v>
      </c>
      <c r="B70" s="1">
        <v>0</v>
      </c>
      <c r="C70" s="1">
        <v>0</v>
      </c>
      <c r="E70" s="1">
        <f t="shared" si="0"/>
        <v>325.00100000000003</v>
      </c>
      <c r="F70" s="1">
        <f t="shared" si="1"/>
        <v>0</v>
      </c>
      <c r="G70" s="1">
        <f t="shared" si="2"/>
        <v>0</v>
      </c>
      <c r="N70" s="1">
        <v>3250.01</v>
      </c>
      <c r="O70" s="1">
        <v>0</v>
      </c>
      <c r="P70" s="1">
        <v>0</v>
      </c>
      <c r="R70" s="1">
        <f t="shared" si="3"/>
        <v>325.00100000000003</v>
      </c>
      <c r="S70" s="1">
        <f t="shared" si="4"/>
        <v>0</v>
      </c>
      <c r="T70" s="1">
        <f t="shared" si="5"/>
        <v>0</v>
      </c>
    </row>
    <row r="71" spans="1:20" x14ac:dyDescent="0.25">
      <c r="A71" s="1">
        <v>3300.01</v>
      </c>
      <c r="B71" s="1">
        <v>0</v>
      </c>
      <c r="C71" s="1">
        <v>0</v>
      </c>
      <c r="E71" s="1">
        <f t="shared" ref="E71:E105" si="6">A71/10</f>
        <v>330.00100000000003</v>
      </c>
      <c r="F71" s="1">
        <f t="shared" ref="F71:F105" si="7">B71+C71</f>
        <v>0</v>
      </c>
      <c r="G71" s="1">
        <f t="shared" ref="G71:G105" si="8">F71*10^8*$K$1/$K$2</f>
        <v>0</v>
      </c>
      <c r="N71" s="1">
        <v>3300.01</v>
      </c>
      <c r="O71" s="1">
        <v>0</v>
      </c>
      <c r="P71" s="1">
        <v>0</v>
      </c>
      <c r="R71" s="1">
        <f t="shared" ref="R71:R105" si="9">N71/10</f>
        <v>330.00100000000003</v>
      </c>
      <c r="S71" s="1">
        <f t="shared" ref="S71:S105" si="10">O71</f>
        <v>0</v>
      </c>
      <c r="T71" s="1">
        <f t="shared" ref="T71:T105" si="11">S71*$K$1/$K$2*100</f>
        <v>0</v>
      </c>
    </row>
    <row r="72" spans="1:20" x14ac:dyDescent="0.25">
      <c r="A72" s="1">
        <v>3350.01</v>
      </c>
      <c r="B72" s="1">
        <v>0</v>
      </c>
      <c r="C72" s="1">
        <v>0</v>
      </c>
      <c r="E72" s="1">
        <f t="shared" si="6"/>
        <v>335.00100000000003</v>
      </c>
      <c r="F72" s="1">
        <f t="shared" si="7"/>
        <v>0</v>
      </c>
      <c r="G72" s="1">
        <f t="shared" si="8"/>
        <v>0</v>
      </c>
      <c r="N72" s="1">
        <v>3350.01</v>
      </c>
      <c r="O72" s="1">
        <v>0</v>
      </c>
      <c r="P72" s="1">
        <v>0</v>
      </c>
      <c r="R72" s="1">
        <f t="shared" si="9"/>
        <v>335.00100000000003</v>
      </c>
      <c r="S72" s="1">
        <f t="shared" si="10"/>
        <v>0</v>
      </c>
      <c r="T72" s="1">
        <f t="shared" si="11"/>
        <v>0</v>
      </c>
    </row>
    <row r="73" spans="1:20" x14ac:dyDescent="0.25">
      <c r="A73" s="1">
        <v>3400.01</v>
      </c>
      <c r="B73" s="1">
        <v>0</v>
      </c>
      <c r="C73" s="1">
        <v>0</v>
      </c>
      <c r="E73" s="1">
        <f t="shared" si="6"/>
        <v>340.00100000000003</v>
      </c>
      <c r="F73" s="1">
        <f t="shared" si="7"/>
        <v>0</v>
      </c>
      <c r="G73" s="1">
        <f t="shared" si="8"/>
        <v>0</v>
      </c>
      <c r="N73" s="1">
        <v>3400.01</v>
      </c>
      <c r="O73" s="1">
        <v>0</v>
      </c>
      <c r="P73" s="1">
        <v>0</v>
      </c>
      <c r="R73" s="1">
        <f t="shared" si="9"/>
        <v>340.00100000000003</v>
      </c>
      <c r="S73" s="1">
        <f t="shared" si="10"/>
        <v>0</v>
      </c>
      <c r="T73" s="1">
        <f t="shared" si="11"/>
        <v>0</v>
      </c>
    </row>
    <row r="74" spans="1:20" x14ac:dyDescent="0.25">
      <c r="A74" s="1">
        <v>3450.01</v>
      </c>
      <c r="B74" s="1">
        <v>0</v>
      </c>
      <c r="C74" s="1">
        <v>0</v>
      </c>
      <c r="E74" s="1">
        <f t="shared" si="6"/>
        <v>345.00100000000003</v>
      </c>
      <c r="F74" s="1">
        <f t="shared" si="7"/>
        <v>0</v>
      </c>
      <c r="G74" s="1">
        <f t="shared" si="8"/>
        <v>0</v>
      </c>
      <c r="N74" s="1">
        <v>3450.01</v>
      </c>
      <c r="O74" s="1">
        <v>0</v>
      </c>
      <c r="P74" s="1">
        <v>0</v>
      </c>
      <c r="R74" s="1">
        <f t="shared" si="9"/>
        <v>345.00100000000003</v>
      </c>
      <c r="S74" s="1">
        <f t="shared" si="10"/>
        <v>0</v>
      </c>
      <c r="T74" s="1">
        <f t="shared" si="11"/>
        <v>0</v>
      </c>
    </row>
    <row r="75" spans="1:20" x14ac:dyDescent="0.25">
      <c r="A75" s="1">
        <v>3500.01</v>
      </c>
      <c r="B75" s="1">
        <v>0</v>
      </c>
      <c r="C75" s="1">
        <v>0</v>
      </c>
      <c r="E75" s="1">
        <f t="shared" si="6"/>
        <v>350.00100000000003</v>
      </c>
      <c r="F75" s="1">
        <f t="shared" si="7"/>
        <v>0</v>
      </c>
      <c r="G75" s="1">
        <f t="shared" si="8"/>
        <v>0</v>
      </c>
      <c r="N75" s="1">
        <v>3500.01</v>
      </c>
      <c r="O75" s="1">
        <v>0</v>
      </c>
      <c r="P75" s="1">
        <v>0</v>
      </c>
      <c r="R75" s="1">
        <f t="shared" si="9"/>
        <v>350.00100000000003</v>
      </c>
      <c r="S75" s="1">
        <f t="shared" si="10"/>
        <v>0</v>
      </c>
      <c r="T75" s="1">
        <f t="shared" si="11"/>
        <v>0</v>
      </c>
    </row>
    <row r="76" spans="1:20" x14ac:dyDescent="0.25">
      <c r="A76" s="1">
        <v>3550.01</v>
      </c>
      <c r="B76" s="1">
        <v>0</v>
      </c>
      <c r="C76" s="1">
        <v>0</v>
      </c>
      <c r="E76" s="1">
        <f t="shared" si="6"/>
        <v>355.00100000000003</v>
      </c>
      <c r="F76" s="1">
        <f t="shared" si="7"/>
        <v>0</v>
      </c>
      <c r="G76" s="1">
        <f t="shared" si="8"/>
        <v>0</v>
      </c>
      <c r="N76" s="1">
        <v>3550.01</v>
      </c>
      <c r="O76" s="1">
        <v>0</v>
      </c>
      <c r="P76" s="1">
        <v>0</v>
      </c>
      <c r="R76" s="1">
        <f t="shared" si="9"/>
        <v>355.00100000000003</v>
      </c>
      <c r="S76" s="1">
        <f t="shared" si="10"/>
        <v>0</v>
      </c>
      <c r="T76" s="1">
        <f t="shared" si="11"/>
        <v>0</v>
      </c>
    </row>
    <row r="77" spans="1:20" x14ac:dyDescent="0.25">
      <c r="A77" s="1">
        <v>3600.01</v>
      </c>
      <c r="B77" s="1">
        <v>0</v>
      </c>
      <c r="C77" s="1">
        <v>0</v>
      </c>
      <c r="E77" s="1">
        <f t="shared" si="6"/>
        <v>360.00100000000003</v>
      </c>
      <c r="F77" s="1">
        <f t="shared" si="7"/>
        <v>0</v>
      </c>
      <c r="G77" s="1">
        <f t="shared" si="8"/>
        <v>0</v>
      </c>
      <c r="N77" s="1">
        <v>3600.01</v>
      </c>
      <c r="O77" s="1">
        <v>0</v>
      </c>
      <c r="P77" s="1">
        <v>0</v>
      </c>
      <c r="R77" s="1">
        <f t="shared" si="9"/>
        <v>360.00100000000003</v>
      </c>
      <c r="S77" s="1">
        <f t="shared" si="10"/>
        <v>0</v>
      </c>
      <c r="T77" s="1">
        <f t="shared" si="11"/>
        <v>0</v>
      </c>
    </row>
    <row r="78" spans="1:20" x14ac:dyDescent="0.25">
      <c r="A78" s="1">
        <v>3650.01</v>
      </c>
      <c r="B78" s="1">
        <v>0</v>
      </c>
      <c r="C78" s="1">
        <v>0</v>
      </c>
      <c r="E78" s="1">
        <f t="shared" si="6"/>
        <v>365.00100000000003</v>
      </c>
      <c r="F78" s="1">
        <f t="shared" si="7"/>
        <v>0</v>
      </c>
      <c r="G78" s="1">
        <f t="shared" si="8"/>
        <v>0</v>
      </c>
      <c r="N78" s="1">
        <v>3650.01</v>
      </c>
      <c r="O78" s="1">
        <v>0</v>
      </c>
      <c r="P78" s="1">
        <v>0</v>
      </c>
      <c r="R78" s="1">
        <f t="shared" si="9"/>
        <v>365.00100000000003</v>
      </c>
      <c r="S78" s="1">
        <f t="shared" si="10"/>
        <v>0</v>
      </c>
      <c r="T78" s="1">
        <f t="shared" si="11"/>
        <v>0</v>
      </c>
    </row>
    <row r="79" spans="1:20" x14ac:dyDescent="0.25">
      <c r="A79" s="1">
        <v>3700.01</v>
      </c>
      <c r="B79" s="1">
        <v>0</v>
      </c>
      <c r="C79" s="1">
        <v>0</v>
      </c>
      <c r="E79" s="1">
        <f t="shared" si="6"/>
        <v>370.00100000000003</v>
      </c>
      <c r="F79" s="1">
        <f t="shared" si="7"/>
        <v>0</v>
      </c>
      <c r="G79" s="1">
        <f t="shared" si="8"/>
        <v>0</v>
      </c>
      <c r="N79" s="1">
        <v>3700.01</v>
      </c>
      <c r="O79" s="1">
        <v>0</v>
      </c>
      <c r="P79" s="1">
        <v>0</v>
      </c>
      <c r="R79" s="1">
        <f t="shared" si="9"/>
        <v>370.00100000000003</v>
      </c>
      <c r="S79" s="1">
        <f t="shared" si="10"/>
        <v>0</v>
      </c>
      <c r="T79" s="1">
        <f t="shared" si="11"/>
        <v>0</v>
      </c>
    </row>
    <row r="80" spans="1:20" x14ac:dyDescent="0.25">
      <c r="A80" s="1">
        <v>3750.01</v>
      </c>
      <c r="B80" s="1">
        <v>0</v>
      </c>
      <c r="C80" s="1">
        <v>0</v>
      </c>
      <c r="E80" s="1">
        <f t="shared" si="6"/>
        <v>375.00100000000003</v>
      </c>
      <c r="F80" s="1">
        <f t="shared" si="7"/>
        <v>0</v>
      </c>
      <c r="G80" s="1">
        <f t="shared" si="8"/>
        <v>0</v>
      </c>
      <c r="N80" s="1">
        <v>3750.01</v>
      </c>
      <c r="O80" s="1">
        <v>0</v>
      </c>
      <c r="P80" s="1">
        <v>0</v>
      </c>
      <c r="R80" s="1">
        <f t="shared" si="9"/>
        <v>375.00100000000003</v>
      </c>
      <c r="S80" s="1">
        <f t="shared" si="10"/>
        <v>0</v>
      </c>
      <c r="T80" s="1">
        <f t="shared" si="11"/>
        <v>0</v>
      </c>
    </row>
    <row r="81" spans="1:20" x14ac:dyDescent="0.25">
      <c r="A81" s="1">
        <v>3800.01</v>
      </c>
      <c r="B81" s="1">
        <v>0</v>
      </c>
      <c r="C81" s="1">
        <v>0</v>
      </c>
      <c r="E81" s="1">
        <f t="shared" si="6"/>
        <v>380.00100000000003</v>
      </c>
      <c r="F81" s="1">
        <f t="shared" si="7"/>
        <v>0</v>
      </c>
      <c r="G81" s="1">
        <f t="shared" si="8"/>
        <v>0</v>
      </c>
      <c r="N81" s="1">
        <v>3800.01</v>
      </c>
      <c r="O81" s="1">
        <v>0</v>
      </c>
      <c r="P81" s="1">
        <v>0</v>
      </c>
      <c r="R81" s="1">
        <f t="shared" si="9"/>
        <v>380.00100000000003</v>
      </c>
      <c r="S81" s="1">
        <f t="shared" si="10"/>
        <v>0</v>
      </c>
      <c r="T81" s="1">
        <f t="shared" si="11"/>
        <v>0</v>
      </c>
    </row>
    <row r="82" spans="1:20" x14ac:dyDescent="0.25">
      <c r="A82" s="1">
        <v>3850.01</v>
      </c>
      <c r="B82" s="1">
        <v>0</v>
      </c>
      <c r="C82" s="1">
        <v>0</v>
      </c>
      <c r="E82" s="1">
        <f t="shared" si="6"/>
        <v>385.00100000000003</v>
      </c>
      <c r="F82" s="1">
        <f t="shared" si="7"/>
        <v>0</v>
      </c>
      <c r="G82" s="1">
        <f t="shared" si="8"/>
        <v>0</v>
      </c>
      <c r="N82" s="1">
        <v>3850.01</v>
      </c>
      <c r="O82" s="1">
        <v>0</v>
      </c>
      <c r="P82" s="1">
        <v>0</v>
      </c>
      <c r="R82" s="1">
        <f t="shared" si="9"/>
        <v>385.00100000000003</v>
      </c>
      <c r="S82" s="1">
        <f t="shared" si="10"/>
        <v>0</v>
      </c>
      <c r="T82" s="1">
        <f t="shared" si="11"/>
        <v>0</v>
      </c>
    </row>
    <row r="83" spans="1:20" x14ac:dyDescent="0.25">
      <c r="A83" s="1">
        <v>3900.01</v>
      </c>
      <c r="B83" s="1">
        <v>0</v>
      </c>
      <c r="C83" s="1">
        <v>0</v>
      </c>
      <c r="E83" s="1">
        <f t="shared" si="6"/>
        <v>390.00100000000003</v>
      </c>
      <c r="F83" s="1">
        <f t="shared" si="7"/>
        <v>0</v>
      </c>
      <c r="G83" s="1">
        <f t="shared" si="8"/>
        <v>0</v>
      </c>
      <c r="N83" s="1">
        <v>3900.01</v>
      </c>
      <c r="O83" s="1">
        <v>0</v>
      </c>
      <c r="P83" s="1">
        <v>0</v>
      </c>
      <c r="R83" s="1">
        <f t="shared" si="9"/>
        <v>390.00100000000003</v>
      </c>
      <c r="S83" s="1">
        <f t="shared" si="10"/>
        <v>0</v>
      </c>
      <c r="T83" s="1">
        <f t="shared" si="11"/>
        <v>0</v>
      </c>
    </row>
    <row r="84" spans="1:20" x14ac:dyDescent="0.25">
      <c r="A84" s="1">
        <v>3950.01</v>
      </c>
      <c r="B84" s="1">
        <v>0</v>
      </c>
      <c r="C84" s="1">
        <v>0</v>
      </c>
      <c r="E84" s="1">
        <f t="shared" si="6"/>
        <v>395.00100000000003</v>
      </c>
      <c r="F84" s="1">
        <f t="shared" si="7"/>
        <v>0</v>
      </c>
      <c r="G84" s="1">
        <f t="shared" si="8"/>
        <v>0</v>
      </c>
      <c r="N84" s="1">
        <v>3950.01</v>
      </c>
      <c r="O84" s="1">
        <v>0</v>
      </c>
      <c r="P84" s="1">
        <v>0</v>
      </c>
      <c r="R84" s="1">
        <f t="shared" si="9"/>
        <v>395.00100000000003</v>
      </c>
      <c r="S84" s="1">
        <f t="shared" si="10"/>
        <v>0</v>
      </c>
      <c r="T84" s="1">
        <f t="shared" si="11"/>
        <v>0</v>
      </c>
    </row>
    <row r="85" spans="1:20" x14ac:dyDescent="0.25">
      <c r="A85" s="1">
        <v>4000.01</v>
      </c>
      <c r="B85" s="1">
        <v>0</v>
      </c>
      <c r="C85" s="1">
        <v>0</v>
      </c>
      <c r="E85" s="1">
        <f t="shared" si="6"/>
        <v>400.00100000000003</v>
      </c>
      <c r="F85" s="1">
        <f t="shared" si="7"/>
        <v>0</v>
      </c>
      <c r="G85" s="1">
        <f t="shared" si="8"/>
        <v>0</v>
      </c>
      <c r="N85" s="1">
        <v>4000.01</v>
      </c>
      <c r="O85" s="1">
        <v>0</v>
      </c>
      <c r="P85" s="1">
        <v>0</v>
      </c>
      <c r="R85" s="1">
        <f t="shared" si="9"/>
        <v>400.00100000000003</v>
      </c>
      <c r="S85" s="1">
        <f t="shared" si="10"/>
        <v>0</v>
      </c>
      <c r="T85" s="1">
        <f t="shared" si="11"/>
        <v>0</v>
      </c>
    </row>
    <row r="86" spans="1:20" x14ac:dyDescent="0.25">
      <c r="A86" s="1">
        <v>4050.01</v>
      </c>
      <c r="B86" s="1">
        <v>0</v>
      </c>
      <c r="C86" s="1">
        <v>0</v>
      </c>
      <c r="E86" s="1">
        <f t="shared" si="6"/>
        <v>405.00100000000003</v>
      </c>
      <c r="F86" s="1">
        <f t="shared" si="7"/>
        <v>0</v>
      </c>
      <c r="G86" s="1">
        <f t="shared" si="8"/>
        <v>0</v>
      </c>
      <c r="N86" s="1">
        <v>4050.01</v>
      </c>
      <c r="O86" s="1">
        <v>0</v>
      </c>
      <c r="P86" s="1">
        <v>0</v>
      </c>
      <c r="R86" s="1">
        <f t="shared" si="9"/>
        <v>405.00100000000003</v>
      </c>
      <c r="S86" s="1">
        <f t="shared" si="10"/>
        <v>0</v>
      </c>
      <c r="T86" s="1">
        <f t="shared" si="11"/>
        <v>0</v>
      </c>
    </row>
    <row r="87" spans="1:20" x14ac:dyDescent="0.25">
      <c r="A87" s="1">
        <v>4100.01</v>
      </c>
      <c r="B87" s="1">
        <v>0</v>
      </c>
      <c r="C87" s="1">
        <v>0</v>
      </c>
      <c r="E87" s="1">
        <f t="shared" si="6"/>
        <v>410.00100000000003</v>
      </c>
      <c r="F87" s="1">
        <f t="shared" si="7"/>
        <v>0</v>
      </c>
      <c r="G87" s="1">
        <f t="shared" si="8"/>
        <v>0</v>
      </c>
      <c r="N87" s="1">
        <v>4100.01</v>
      </c>
      <c r="O87" s="1">
        <v>0</v>
      </c>
      <c r="P87" s="1">
        <v>0</v>
      </c>
      <c r="R87" s="1">
        <f t="shared" si="9"/>
        <v>410.00100000000003</v>
      </c>
      <c r="S87" s="1">
        <f t="shared" si="10"/>
        <v>0</v>
      </c>
      <c r="T87" s="1">
        <f t="shared" si="11"/>
        <v>0</v>
      </c>
    </row>
    <row r="88" spans="1:20" x14ac:dyDescent="0.25">
      <c r="A88" s="1">
        <v>4150.01</v>
      </c>
      <c r="B88" s="1">
        <v>0</v>
      </c>
      <c r="C88" s="1">
        <v>0</v>
      </c>
      <c r="E88" s="1">
        <f t="shared" si="6"/>
        <v>415.00100000000003</v>
      </c>
      <c r="F88" s="1">
        <f t="shared" si="7"/>
        <v>0</v>
      </c>
      <c r="G88" s="1">
        <f t="shared" si="8"/>
        <v>0</v>
      </c>
      <c r="N88" s="1">
        <v>4150.01</v>
      </c>
      <c r="O88" s="1">
        <v>0</v>
      </c>
      <c r="P88" s="1">
        <v>0</v>
      </c>
      <c r="R88" s="1">
        <f t="shared" si="9"/>
        <v>415.00100000000003</v>
      </c>
      <c r="S88" s="1">
        <f t="shared" si="10"/>
        <v>0</v>
      </c>
      <c r="T88" s="1">
        <f t="shared" si="11"/>
        <v>0</v>
      </c>
    </row>
    <row r="89" spans="1:20" x14ac:dyDescent="0.25">
      <c r="A89" s="1">
        <v>4200.01</v>
      </c>
      <c r="B89" s="1">
        <v>0</v>
      </c>
      <c r="C89" s="1">
        <v>0</v>
      </c>
      <c r="E89" s="1">
        <f t="shared" si="6"/>
        <v>420.00100000000003</v>
      </c>
      <c r="F89" s="1">
        <f t="shared" si="7"/>
        <v>0</v>
      </c>
      <c r="G89" s="1">
        <f t="shared" si="8"/>
        <v>0</v>
      </c>
      <c r="N89" s="1">
        <v>4200.01</v>
      </c>
      <c r="O89" s="1">
        <v>0</v>
      </c>
      <c r="P89" s="1">
        <v>0</v>
      </c>
      <c r="R89" s="1">
        <f t="shared" si="9"/>
        <v>420.00100000000003</v>
      </c>
      <c r="S89" s="1">
        <f t="shared" si="10"/>
        <v>0</v>
      </c>
      <c r="T89" s="1">
        <f t="shared" si="11"/>
        <v>0</v>
      </c>
    </row>
    <row r="90" spans="1:20" x14ac:dyDescent="0.25">
      <c r="A90" s="1">
        <v>4250.01</v>
      </c>
      <c r="B90" s="1">
        <v>0</v>
      </c>
      <c r="C90" s="1">
        <v>0</v>
      </c>
      <c r="E90" s="1">
        <f t="shared" si="6"/>
        <v>425.00100000000003</v>
      </c>
      <c r="F90" s="1">
        <f t="shared" si="7"/>
        <v>0</v>
      </c>
      <c r="G90" s="1">
        <f t="shared" si="8"/>
        <v>0</v>
      </c>
      <c r="N90" s="1">
        <v>4250.01</v>
      </c>
      <c r="O90" s="1">
        <v>0</v>
      </c>
      <c r="P90" s="1">
        <v>0</v>
      </c>
      <c r="R90" s="1">
        <f t="shared" si="9"/>
        <v>425.00100000000003</v>
      </c>
      <c r="S90" s="1">
        <f t="shared" si="10"/>
        <v>0</v>
      </c>
      <c r="T90" s="1">
        <f t="shared" si="11"/>
        <v>0</v>
      </c>
    </row>
    <row r="91" spans="1:20" x14ac:dyDescent="0.25">
      <c r="A91" s="1">
        <v>4300.01</v>
      </c>
      <c r="B91" s="1">
        <v>0</v>
      </c>
      <c r="C91" s="1">
        <v>0</v>
      </c>
      <c r="E91" s="1">
        <f t="shared" si="6"/>
        <v>430.00100000000003</v>
      </c>
      <c r="F91" s="1">
        <f t="shared" si="7"/>
        <v>0</v>
      </c>
      <c r="G91" s="1">
        <f t="shared" si="8"/>
        <v>0</v>
      </c>
      <c r="N91" s="1">
        <v>4300.01</v>
      </c>
      <c r="O91" s="1">
        <v>0</v>
      </c>
      <c r="P91" s="1">
        <v>0</v>
      </c>
      <c r="R91" s="1">
        <f t="shared" si="9"/>
        <v>430.00100000000003</v>
      </c>
      <c r="S91" s="1">
        <f t="shared" si="10"/>
        <v>0</v>
      </c>
      <c r="T91" s="1">
        <f t="shared" si="11"/>
        <v>0</v>
      </c>
    </row>
    <row r="92" spans="1:20" x14ac:dyDescent="0.25">
      <c r="A92" s="1">
        <v>4350.01</v>
      </c>
      <c r="B92" s="1">
        <v>0</v>
      </c>
      <c r="C92" s="1">
        <v>0</v>
      </c>
      <c r="E92" s="1">
        <f t="shared" si="6"/>
        <v>435.00100000000003</v>
      </c>
      <c r="F92" s="1">
        <f t="shared" si="7"/>
        <v>0</v>
      </c>
      <c r="G92" s="1">
        <f t="shared" si="8"/>
        <v>0</v>
      </c>
      <c r="N92" s="1">
        <v>4350.01</v>
      </c>
      <c r="O92" s="1">
        <v>0</v>
      </c>
      <c r="P92" s="1">
        <v>0</v>
      </c>
      <c r="R92" s="1">
        <f t="shared" si="9"/>
        <v>435.00100000000003</v>
      </c>
      <c r="S92" s="1">
        <f t="shared" si="10"/>
        <v>0</v>
      </c>
      <c r="T92" s="1">
        <f t="shared" si="11"/>
        <v>0</v>
      </c>
    </row>
    <row r="93" spans="1:20" x14ac:dyDescent="0.25">
      <c r="A93" s="1">
        <v>4400.01</v>
      </c>
      <c r="B93" s="1">
        <v>0</v>
      </c>
      <c r="C93" s="1">
        <v>0</v>
      </c>
      <c r="E93" s="1">
        <f t="shared" si="6"/>
        <v>440.00100000000003</v>
      </c>
      <c r="F93" s="1">
        <f t="shared" si="7"/>
        <v>0</v>
      </c>
      <c r="G93" s="1">
        <f t="shared" si="8"/>
        <v>0</v>
      </c>
      <c r="N93" s="1">
        <v>4400.01</v>
      </c>
      <c r="O93" s="1">
        <v>0</v>
      </c>
      <c r="P93" s="1">
        <v>0</v>
      </c>
      <c r="R93" s="1">
        <f t="shared" si="9"/>
        <v>440.00100000000003</v>
      </c>
      <c r="S93" s="1">
        <f t="shared" si="10"/>
        <v>0</v>
      </c>
      <c r="T93" s="1">
        <f t="shared" si="11"/>
        <v>0</v>
      </c>
    </row>
    <row r="94" spans="1:20" x14ac:dyDescent="0.25">
      <c r="A94" s="1">
        <v>4450.01</v>
      </c>
      <c r="B94" s="1">
        <v>0</v>
      </c>
      <c r="C94" s="1">
        <v>0</v>
      </c>
      <c r="E94" s="1">
        <f t="shared" si="6"/>
        <v>445.00100000000003</v>
      </c>
      <c r="F94" s="1">
        <f t="shared" si="7"/>
        <v>0</v>
      </c>
      <c r="G94" s="1">
        <f t="shared" si="8"/>
        <v>0</v>
      </c>
      <c r="N94" s="1">
        <v>4450.01</v>
      </c>
      <c r="O94" s="1">
        <v>0</v>
      </c>
      <c r="P94" s="1">
        <v>0</v>
      </c>
      <c r="R94" s="1">
        <f t="shared" si="9"/>
        <v>445.00100000000003</v>
      </c>
      <c r="S94" s="1">
        <f t="shared" si="10"/>
        <v>0</v>
      </c>
      <c r="T94" s="1">
        <f t="shared" si="11"/>
        <v>0</v>
      </c>
    </row>
    <row r="95" spans="1:20" x14ac:dyDescent="0.25">
      <c r="A95" s="1">
        <v>4500.01</v>
      </c>
      <c r="B95" s="1">
        <v>0</v>
      </c>
      <c r="C95" s="1">
        <v>0</v>
      </c>
      <c r="E95" s="1">
        <f t="shared" si="6"/>
        <v>450.00100000000003</v>
      </c>
      <c r="F95" s="1">
        <f t="shared" si="7"/>
        <v>0</v>
      </c>
      <c r="G95" s="1">
        <f t="shared" si="8"/>
        <v>0</v>
      </c>
      <c r="N95" s="1">
        <v>4500.01</v>
      </c>
      <c r="O95" s="1">
        <v>0</v>
      </c>
      <c r="P95" s="1">
        <v>0</v>
      </c>
      <c r="R95" s="1">
        <f t="shared" si="9"/>
        <v>450.00100000000003</v>
      </c>
      <c r="S95" s="1">
        <f t="shared" si="10"/>
        <v>0</v>
      </c>
      <c r="T95" s="1">
        <f t="shared" si="11"/>
        <v>0</v>
      </c>
    </row>
    <row r="96" spans="1:20" x14ac:dyDescent="0.25">
      <c r="A96" s="1">
        <v>4550.01</v>
      </c>
      <c r="B96" s="1">
        <v>0</v>
      </c>
      <c r="C96" s="1">
        <v>0</v>
      </c>
      <c r="E96" s="1">
        <f t="shared" si="6"/>
        <v>455.00100000000003</v>
      </c>
      <c r="F96" s="1">
        <f t="shared" si="7"/>
        <v>0</v>
      </c>
      <c r="G96" s="1">
        <f t="shared" si="8"/>
        <v>0</v>
      </c>
      <c r="N96" s="1">
        <v>4550.01</v>
      </c>
      <c r="O96" s="1">
        <v>0</v>
      </c>
      <c r="P96" s="1">
        <v>0</v>
      </c>
      <c r="R96" s="1">
        <f t="shared" si="9"/>
        <v>455.00100000000003</v>
      </c>
      <c r="S96" s="1">
        <f t="shared" si="10"/>
        <v>0</v>
      </c>
      <c r="T96" s="1">
        <f t="shared" si="11"/>
        <v>0</v>
      </c>
    </row>
    <row r="97" spans="1:20" x14ac:dyDescent="0.25">
      <c r="A97" s="1">
        <v>4600.01</v>
      </c>
      <c r="B97" s="1">
        <v>0</v>
      </c>
      <c r="C97" s="1">
        <v>0</v>
      </c>
      <c r="E97" s="1">
        <f t="shared" si="6"/>
        <v>460.00100000000003</v>
      </c>
      <c r="F97" s="1">
        <f t="shared" si="7"/>
        <v>0</v>
      </c>
      <c r="G97" s="1">
        <f t="shared" si="8"/>
        <v>0</v>
      </c>
      <c r="N97" s="1">
        <v>4600.01</v>
      </c>
      <c r="O97" s="1">
        <v>0</v>
      </c>
      <c r="P97" s="1">
        <v>0</v>
      </c>
      <c r="R97" s="1">
        <f t="shared" si="9"/>
        <v>460.00100000000003</v>
      </c>
      <c r="S97" s="1">
        <f t="shared" si="10"/>
        <v>0</v>
      </c>
      <c r="T97" s="1">
        <f t="shared" si="11"/>
        <v>0</v>
      </c>
    </row>
    <row r="98" spans="1:20" x14ac:dyDescent="0.25">
      <c r="A98" s="1">
        <v>4650.01</v>
      </c>
      <c r="B98" s="1">
        <v>0</v>
      </c>
      <c r="C98" s="1">
        <v>0</v>
      </c>
      <c r="E98" s="1">
        <f t="shared" si="6"/>
        <v>465.00100000000003</v>
      </c>
      <c r="F98" s="1">
        <f t="shared" si="7"/>
        <v>0</v>
      </c>
      <c r="G98" s="1">
        <f t="shared" si="8"/>
        <v>0</v>
      </c>
      <c r="N98" s="1">
        <v>4650.01</v>
      </c>
      <c r="O98" s="1">
        <v>0</v>
      </c>
      <c r="P98" s="1">
        <v>0</v>
      </c>
      <c r="R98" s="1">
        <f t="shared" si="9"/>
        <v>465.00100000000003</v>
      </c>
      <c r="S98" s="1">
        <f t="shared" si="10"/>
        <v>0</v>
      </c>
      <c r="T98" s="1">
        <f t="shared" si="11"/>
        <v>0</v>
      </c>
    </row>
    <row r="99" spans="1:20" x14ac:dyDescent="0.25">
      <c r="A99" s="1">
        <v>4700.01</v>
      </c>
      <c r="B99" s="1">
        <v>0</v>
      </c>
      <c r="C99" s="1">
        <v>0</v>
      </c>
      <c r="E99" s="1">
        <f t="shared" si="6"/>
        <v>470.00100000000003</v>
      </c>
      <c r="F99" s="1">
        <f t="shared" si="7"/>
        <v>0</v>
      </c>
      <c r="G99" s="1">
        <f t="shared" si="8"/>
        <v>0</v>
      </c>
      <c r="N99" s="1">
        <v>4700.01</v>
      </c>
      <c r="O99" s="1">
        <v>0</v>
      </c>
      <c r="P99" s="1">
        <v>0</v>
      </c>
      <c r="R99" s="1">
        <f t="shared" si="9"/>
        <v>470.00100000000003</v>
      </c>
      <c r="S99" s="1">
        <f t="shared" si="10"/>
        <v>0</v>
      </c>
      <c r="T99" s="1">
        <f t="shared" si="11"/>
        <v>0</v>
      </c>
    </row>
    <row r="100" spans="1:20" x14ac:dyDescent="0.25">
      <c r="A100" s="1">
        <v>4750.01</v>
      </c>
      <c r="B100" s="1">
        <v>0</v>
      </c>
      <c r="C100" s="1">
        <v>0</v>
      </c>
      <c r="E100" s="1">
        <f t="shared" si="6"/>
        <v>475.00100000000003</v>
      </c>
      <c r="F100" s="1">
        <f t="shared" si="7"/>
        <v>0</v>
      </c>
      <c r="G100" s="1">
        <f t="shared" si="8"/>
        <v>0</v>
      </c>
      <c r="N100" s="1">
        <v>4750.01</v>
      </c>
      <c r="O100" s="1">
        <v>0</v>
      </c>
      <c r="P100" s="1">
        <v>0</v>
      </c>
      <c r="R100" s="1">
        <f t="shared" si="9"/>
        <v>475.00100000000003</v>
      </c>
      <c r="S100" s="1">
        <f t="shared" si="10"/>
        <v>0</v>
      </c>
      <c r="T100" s="1">
        <f t="shared" si="11"/>
        <v>0</v>
      </c>
    </row>
    <row r="101" spans="1:20" x14ac:dyDescent="0.25">
      <c r="A101" s="1">
        <v>4800.01</v>
      </c>
      <c r="B101" s="1">
        <v>0</v>
      </c>
      <c r="C101" s="1">
        <v>0</v>
      </c>
      <c r="E101" s="1">
        <f t="shared" si="6"/>
        <v>480.00100000000003</v>
      </c>
      <c r="F101" s="1">
        <f t="shared" si="7"/>
        <v>0</v>
      </c>
      <c r="G101" s="1">
        <f t="shared" si="8"/>
        <v>0</v>
      </c>
      <c r="N101" s="1">
        <v>4800.01</v>
      </c>
      <c r="O101" s="1">
        <v>0</v>
      </c>
      <c r="P101" s="1">
        <v>0</v>
      </c>
      <c r="R101" s="1">
        <f t="shared" si="9"/>
        <v>480.00100000000003</v>
      </c>
      <c r="S101" s="1">
        <f t="shared" si="10"/>
        <v>0</v>
      </c>
      <c r="T101" s="1">
        <f t="shared" si="11"/>
        <v>0</v>
      </c>
    </row>
    <row r="102" spans="1:20" x14ac:dyDescent="0.25">
      <c r="A102" s="1">
        <v>4850.01</v>
      </c>
      <c r="B102" s="1">
        <v>0</v>
      </c>
      <c r="C102" s="1">
        <v>0</v>
      </c>
      <c r="E102" s="1">
        <f t="shared" si="6"/>
        <v>485.00100000000003</v>
      </c>
      <c r="F102" s="1">
        <f t="shared" si="7"/>
        <v>0</v>
      </c>
      <c r="G102" s="1">
        <f t="shared" si="8"/>
        <v>0</v>
      </c>
      <c r="N102" s="1">
        <v>4850.01</v>
      </c>
      <c r="O102" s="1">
        <v>0</v>
      </c>
      <c r="P102" s="1">
        <v>0</v>
      </c>
      <c r="R102" s="1">
        <f t="shared" si="9"/>
        <v>485.00100000000003</v>
      </c>
      <c r="S102" s="1">
        <f t="shared" si="10"/>
        <v>0</v>
      </c>
      <c r="T102" s="1">
        <f t="shared" si="11"/>
        <v>0</v>
      </c>
    </row>
    <row r="103" spans="1:20" x14ac:dyDescent="0.25">
      <c r="A103" s="1">
        <v>4900.01</v>
      </c>
      <c r="B103" s="1">
        <v>0</v>
      </c>
      <c r="C103" s="1">
        <v>0</v>
      </c>
      <c r="E103" s="1">
        <f t="shared" si="6"/>
        <v>490.00100000000003</v>
      </c>
      <c r="F103" s="1">
        <f t="shared" si="7"/>
        <v>0</v>
      </c>
      <c r="G103" s="1">
        <f t="shared" si="8"/>
        <v>0</v>
      </c>
      <c r="N103" s="1">
        <v>4900.01</v>
      </c>
      <c r="O103" s="1">
        <v>0</v>
      </c>
      <c r="P103" s="1">
        <v>0</v>
      </c>
      <c r="R103" s="1">
        <f t="shared" si="9"/>
        <v>490.00100000000003</v>
      </c>
      <c r="S103" s="1">
        <f t="shared" si="10"/>
        <v>0</v>
      </c>
      <c r="T103" s="1">
        <f t="shared" si="11"/>
        <v>0</v>
      </c>
    </row>
    <row r="104" spans="1:20" x14ac:dyDescent="0.25">
      <c r="A104" s="1">
        <v>4950.01</v>
      </c>
      <c r="B104" s="1">
        <v>0</v>
      </c>
      <c r="C104" s="1">
        <v>0</v>
      </c>
      <c r="E104" s="1">
        <f t="shared" si="6"/>
        <v>495.00100000000003</v>
      </c>
      <c r="F104" s="1">
        <f t="shared" si="7"/>
        <v>0</v>
      </c>
      <c r="G104" s="1">
        <f t="shared" si="8"/>
        <v>0</v>
      </c>
      <c r="N104" s="1">
        <v>4950.01</v>
      </c>
      <c r="O104" s="1">
        <v>0</v>
      </c>
      <c r="P104" s="1">
        <v>0</v>
      </c>
      <c r="R104" s="1">
        <f t="shared" si="9"/>
        <v>495.00100000000003</v>
      </c>
      <c r="S104" s="1">
        <f t="shared" si="10"/>
        <v>0</v>
      </c>
      <c r="T104" s="1">
        <f t="shared" si="11"/>
        <v>0</v>
      </c>
    </row>
    <row r="105" spans="1:20" x14ac:dyDescent="0.25">
      <c r="A105" s="1">
        <v>5000.01</v>
      </c>
      <c r="B105" s="1">
        <v>0</v>
      </c>
      <c r="C105" s="1">
        <v>0</v>
      </c>
      <c r="E105" s="1">
        <f t="shared" si="6"/>
        <v>500.00100000000003</v>
      </c>
      <c r="F105" s="1">
        <f t="shared" si="7"/>
        <v>0</v>
      </c>
      <c r="G105" s="1">
        <f t="shared" si="8"/>
        <v>0</v>
      </c>
      <c r="N105" s="1">
        <v>5000.01</v>
      </c>
      <c r="O105" s="1">
        <v>0</v>
      </c>
      <c r="P105" s="1">
        <v>0</v>
      </c>
      <c r="R105" s="1">
        <f t="shared" si="9"/>
        <v>500.00100000000003</v>
      </c>
      <c r="S105" s="1">
        <f t="shared" si="10"/>
        <v>0</v>
      </c>
      <c r="T105" s="1">
        <f t="shared" si="1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2025-08-21T00:58:32Z</dcterms:modified>
</cp:coreProperties>
</file>