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T Dropbox\Wande Cairang\XJTU research\Mo-Nb\Draft\XRD\"/>
    </mc:Choice>
  </mc:AlternateContent>
  <xr:revisionPtr revIDLastSave="0" documentId="13_ncr:1_{7A4F9CB3-E630-49AE-82DD-D825B02B34A5}" xr6:coauthVersionLast="47" xr6:coauthVersionMax="47" xr10:uidLastSave="{00000000-0000-0000-0000-000000000000}"/>
  <bookViews>
    <workbookView xWindow="-110" yWindow="-110" windowWidth="38620" windowHeight="21100" xr2:uid="{0A61118D-6C91-4A79-B918-AA582F75CA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2" i="1"/>
  <c r="T3" i="1"/>
  <c r="T4" i="1"/>
  <c r="T5" i="1"/>
  <c r="T6" i="1"/>
  <c r="T7" i="1"/>
  <c r="T8" i="1"/>
  <c r="T9" i="1"/>
  <c r="T10" i="1"/>
  <c r="T11" i="1"/>
  <c r="T12" i="1"/>
  <c r="T13" i="1"/>
  <c r="T2" i="1"/>
  <c r="E8" i="1"/>
  <c r="E9" i="1"/>
  <c r="E10" i="1"/>
  <c r="E11" i="1"/>
  <c r="E12" i="1"/>
  <c r="E2" i="1"/>
  <c r="X3" i="1"/>
  <c r="X4" i="1"/>
  <c r="X5" i="1"/>
  <c r="X6" i="1"/>
  <c r="X7" i="1"/>
  <c r="X8" i="1"/>
  <c r="X9" i="1"/>
  <c r="X10" i="1"/>
  <c r="X11" i="1"/>
  <c r="X12" i="1"/>
  <c r="X2" i="1"/>
  <c r="S3" i="1"/>
  <c r="S4" i="1"/>
  <c r="S5" i="1"/>
  <c r="S6" i="1"/>
  <c r="S7" i="1"/>
  <c r="S8" i="1"/>
  <c r="S9" i="1"/>
  <c r="S10" i="1"/>
  <c r="S11" i="1"/>
  <c r="S12" i="1"/>
  <c r="S13" i="1"/>
  <c r="S2" i="1"/>
  <c r="N3" i="1"/>
  <c r="O3" i="1" s="1"/>
  <c r="N4" i="1"/>
  <c r="O4" i="1" s="1"/>
  <c r="N5" i="1"/>
  <c r="O5" i="1" s="1"/>
  <c r="N6" i="1"/>
  <c r="O6" i="1" s="1"/>
  <c r="N7" i="1"/>
  <c r="O7" i="1" s="1"/>
  <c r="N8" i="1"/>
  <c r="O8" i="1" s="1"/>
  <c r="N9" i="1"/>
  <c r="O9" i="1" s="1"/>
  <c r="N10" i="1"/>
  <c r="O10" i="1" s="1"/>
  <c r="N11" i="1"/>
  <c r="O11" i="1" s="1"/>
  <c r="N12" i="1"/>
  <c r="O12" i="1" s="1"/>
  <c r="N2" i="1"/>
  <c r="O2" i="1" s="1"/>
  <c r="I3" i="1"/>
  <c r="J3" i="1" s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2" i="1"/>
  <c r="J2" i="1" s="1"/>
  <c r="D3" i="1"/>
  <c r="E3" i="1" s="1"/>
  <c r="D4" i="1"/>
  <c r="E4" i="1" s="1"/>
  <c r="D5" i="1"/>
  <c r="E5" i="1" s="1"/>
  <c r="D6" i="1"/>
  <c r="E6" i="1" s="1"/>
  <c r="D7" i="1"/>
  <c r="E7" i="1" s="1"/>
  <c r="D8" i="1"/>
  <c r="D9" i="1"/>
  <c r="D10" i="1"/>
  <c r="D11" i="1"/>
  <c r="D12" i="1"/>
  <c r="D2" i="1"/>
</calcChain>
</file>

<file path=xl/sharedStrings.xml><?xml version="1.0" encoding="utf-8"?>
<sst xmlns="http://schemas.openxmlformats.org/spreadsheetml/2006/main" count="20" uniqueCount="8">
  <si>
    <t>MoO2</t>
  </si>
  <si>
    <t xml:space="preserve">Temperature </t>
  </si>
  <si>
    <t>MoO3</t>
  </si>
  <si>
    <t>NbO</t>
  </si>
  <si>
    <t>NbO2</t>
  </si>
  <si>
    <t>Nb2O5</t>
  </si>
  <si>
    <t>per mole O2</t>
  </si>
  <si>
    <t>Per mole 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</si>
</sst>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2705-0E02-4DD3-9BD3-B4805722494C}">
  <dimension ref="B1:Y17"/>
  <sheetViews>
    <sheetView tabSelected="1" topLeftCell="F1" zoomScale="175" zoomScaleNormal="175" workbookViewId="0">
      <selection activeCell="Q1" activeCellId="1" sqref="S1:S1048576 Q1:Q1048576"/>
    </sheetView>
  </sheetViews>
  <sheetFormatPr defaultRowHeight="14.5" x14ac:dyDescent="0.35"/>
  <cols>
    <col min="2" max="2" width="19.7265625" customWidth="1"/>
    <col min="12" max="12" width="14" customWidth="1"/>
    <col min="17" max="17" width="10.81640625" customWidth="1"/>
    <col min="22" max="22" width="10.81640625" customWidth="1"/>
  </cols>
  <sheetData>
    <row r="1" spans="2:25" x14ac:dyDescent="0.35">
      <c r="B1" t="s">
        <v>1</v>
      </c>
      <c r="C1" t="s">
        <v>0</v>
      </c>
      <c r="D1" t="s">
        <v>0</v>
      </c>
      <c r="E1" t="s">
        <v>7</v>
      </c>
      <c r="G1" t="s">
        <v>1</v>
      </c>
      <c r="H1" t="s">
        <v>2</v>
      </c>
      <c r="I1" t="s">
        <v>2</v>
      </c>
      <c r="J1" t="s">
        <v>6</v>
      </c>
      <c r="L1" t="s">
        <v>1</v>
      </c>
      <c r="M1" t="s">
        <v>3</v>
      </c>
      <c r="N1" t="s">
        <v>3</v>
      </c>
      <c r="O1" t="s">
        <v>6</v>
      </c>
      <c r="Q1" t="s">
        <v>1</v>
      </c>
      <c r="R1" t="s">
        <v>4</v>
      </c>
      <c r="S1" t="s">
        <v>4</v>
      </c>
      <c r="T1" t="s">
        <v>6</v>
      </c>
      <c r="V1" t="s">
        <v>1</v>
      </c>
      <c r="W1" t="s">
        <v>5</v>
      </c>
      <c r="X1" t="s">
        <v>5</v>
      </c>
      <c r="Y1" t="s">
        <v>6</v>
      </c>
    </row>
    <row r="2" spans="2:25" x14ac:dyDescent="0.35">
      <c r="B2">
        <v>25</v>
      </c>
      <c r="C2">
        <v>-532043.19999999995</v>
      </c>
      <c r="D2">
        <f>C2/1000</f>
        <v>-532.04319999999996</v>
      </c>
      <c r="E2">
        <f>D2</f>
        <v>-532.04319999999996</v>
      </c>
      <c r="G2">
        <v>25</v>
      </c>
      <c r="H2">
        <v>-1336255.3</v>
      </c>
      <c r="I2">
        <f>H2/1000</f>
        <v>-1336.2553</v>
      </c>
      <c r="J2">
        <f>I2/3</f>
        <v>-445.41843333333333</v>
      </c>
      <c r="L2">
        <v>25</v>
      </c>
      <c r="M2">
        <v>-783878.7</v>
      </c>
      <c r="N2">
        <f>M2/1000</f>
        <v>-783.87869999999998</v>
      </c>
      <c r="O2">
        <f>N2</f>
        <v>-783.87869999999998</v>
      </c>
      <c r="Q2">
        <v>25</v>
      </c>
      <c r="R2">
        <v>-739207.3</v>
      </c>
      <c r="S2">
        <f>R2/1000</f>
        <v>-739.20730000000003</v>
      </c>
      <c r="T2">
        <f>S2</f>
        <v>-739.20730000000003</v>
      </c>
      <c r="V2">
        <v>25</v>
      </c>
      <c r="W2">
        <v>-3531796.1</v>
      </c>
      <c r="X2">
        <f>W2/1000</f>
        <v>-3531.7961</v>
      </c>
      <c r="Y2">
        <f>X2/5</f>
        <v>-706.35922000000005</v>
      </c>
    </row>
    <row r="3" spans="2:25" x14ac:dyDescent="0.35">
      <c r="B3">
        <v>125</v>
      </c>
      <c r="C3">
        <v>-513398.2</v>
      </c>
      <c r="D3">
        <f t="shared" ref="D3:D12" si="0">C3/1000</f>
        <v>-513.39819999999997</v>
      </c>
      <c r="E3">
        <f t="shared" ref="E3:E12" si="1">D3</f>
        <v>-513.39819999999997</v>
      </c>
      <c r="G3">
        <v>125</v>
      </c>
      <c r="H3">
        <v>-1284858.5</v>
      </c>
      <c r="I3">
        <f t="shared" ref="I3:I13" si="2">H3/1000</f>
        <v>-1284.8585</v>
      </c>
      <c r="J3">
        <f t="shared" ref="J3:J13" si="3">I3/3</f>
        <v>-428.2861666666667</v>
      </c>
      <c r="L3">
        <v>125</v>
      </c>
      <c r="M3">
        <v>-765362.3</v>
      </c>
      <c r="N3">
        <f t="shared" ref="N3:N12" si="4">M3/1000</f>
        <v>-765.3623</v>
      </c>
      <c r="O3">
        <f t="shared" ref="O3:O12" si="5">N3</f>
        <v>-765.3623</v>
      </c>
      <c r="Q3">
        <v>125</v>
      </c>
      <c r="R3">
        <v>-720585.8</v>
      </c>
      <c r="S3">
        <f t="shared" ref="S3:S13" si="6">R3/1000</f>
        <v>-720.58580000000006</v>
      </c>
      <c r="T3">
        <f t="shared" ref="T3:T13" si="7">S3</f>
        <v>-720.58580000000006</v>
      </c>
      <c r="V3">
        <v>125</v>
      </c>
      <c r="W3">
        <v>-3442540.8</v>
      </c>
      <c r="X3">
        <f t="shared" ref="X3:X12" si="8">W3/1000</f>
        <v>-3442.5407999999998</v>
      </c>
      <c r="Y3">
        <f t="shared" ref="Y3:Y12" si="9">X3/5</f>
        <v>-688.50815999999998</v>
      </c>
    </row>
    <row r="4" spans="2:25" x14ac:dyDescent="0.35">
      <c r="B4">
        <v>225</v>
      </c>
      <c r="C4">
        <v>-494953.6</v>
      </c>
      <c r="D4">
        <f t="shared" si="0"/>
        <v>-494.95359999999999</v>
      </c>
      <c r="E4">
        <f t="shared" si="1"/>
        <v>-494.95359999999999</v>
      </c>
      <c r="G4">
        <v>225</v>
      </c>
      <c r="H4">
        <v>-1234090.1000000001</v>
      </c>
      <c r="I4">
        <f t="shared" si="2"/>
        <v>-1234.0901000000001</v>
      </c>
      <c r="J4">
        <f t="shared" si="3"/>
        <v>-411.36336666666671</v>
      </c>
      <c r="L4">
        <v>225</v>
      </c>
      <c r="M4" s="1">
        <v>-747022.5</v>
      </c>
      <c r="N4">
        <f t="shared" si="4"/>
        <v>-747.02250000000004</v>
      </c>
      <c r="O4">
        <f t="shared" si="5"/>
        <v>-747.02250000000004</v>
      </c>
      <c r="Q4">
        <v>225</v>
      </c>
      <c r="R4" s="1">
        <v>-702159.9</v>
      </c>
      <c r="S4">
        <f t="shared" si="6"/>
        <v>-702.15989999999999</v>
      </c>
      <c r="T4">
        <f t="shared" si="7"/>
        <v>-702.15989999999999</v>
      </c>
      <c r="V4">
        <v>225</v>
      </c>
      <c r="W4" s="1">
        <v>-3354212.5</v>
      </c>
      <c r="X4">
        <f t="shared" si="8"/>
        <v>-3354.2125000000001</v>
      </c>
      <c r="Y4">
        <f t="shared" si="9"/>
        <v>-670.84249999999997</v>
      </c>
    </row>
    <row r="5" spans="2:25" x14ac:dyDescent="0.35">
      <c r="B5">
        <v>325</v>
      </c>
      <c r="C5">
        <v>-476727.1</v>
      </c>
      <c r="D5">
        <f t="shared" si="0"/>
        <v>-476.72709999999995</v>
      </c>
      <c r="E5">
        <f t="shared" si="1"/>
        <v>-476.72709999999995</v>
      </c>
      <c r="G5">
        <v>325</v>
      </c>
      <c r="H5">
        <v>-1183932.1000000001</v>
      </c>
      <c r="I5">
        <f t="shared" si="2"/>
        <v>-1183.9321</v>
      </c>
      <c r="J5">
        <f t="shared" si="3"/>
        <v>-394.64403333333331</v>
      </c>
      <c r="L5">
        <v>325</v>
      </c>
      <c r="M5" s="1">
        <v>-728856.4</v>
      </c>
      <c r="N5">
        <f t="shared" si="4"/>
        <v>-728.85640000000001</v>
      </c>
      <c r="O5">
        <f t="shared" si="5"/>
        <v>-728.85640000000001</v>
      </c>
      <c r="Q5">
        <v>325</v>
      </c>
      <c r="R5" s="1">
        <v>-683948.3</v>
      </c>
      <c r="S5">
        <f t="shared" si="6"/>
        <v>-683.94830000000002</v>
      </c>
      <c r="T5">
        <f t="shared" si="7"/>
        <v>-683.94830000000002</v>
      </c>
      <c r="V5">
        <v>325</v>
      </c>
      <c r="W5" s="1">
        <v>-3266850.3</v>
      </c>
      <c r="X5">
        <f t="shared" si="8"/>
        <v>-3266.8502999999996</v>
      </c>
      <c r="Y5">
        <f t="shared" si="9"/>
        <v>-653.37005999999997</v>
      </c>
    </row>
    <row r="6" spans="2:25" x14ac:dyDescent="0.35">
      <c r="B6">
        <v>425</v>
      </c>
      <c r="C6">
        <v>-458711.3</v>
      </c>
      <c r="D6">
        <f t="shared" si="0"/>
        <v>-458.71129999999999</v>
      </c>
      <c r="E6">
        <f t="shared" si="1"/>
        <v>-458.71129999999999</v>
      </c>
      <c r="G6">
        <v>425</v>
      </c>
      <c r="H6">
        <v>-1134349.3999999999</v>
      </c>
      <c r="I6">
        <f t="shared" si="2"/>
        <v>-1134.3493999999998</v>
      </c>
      <c r="J6">
        <f t="shared" si="3"/>
        <v>-378.11646666666661</v>
      </c>
      <c r="L6">
        <v>425</v>
      </c>
      <c r="M6" s="1">
        <v>-710849.2</v>
      </c>
      <c r="N6">
        <f t="shared" si="4"/>
        <v>-710.8492</v>
      </c>
      <c r="O6">
        <f t="shared" si="5"/>
        <v>-710.8492</v>
      </c>
      <c r="Q6">
        <v>425</v>
      </c>
      <c r="R6" s="1">
        <v>-665956.5</v>
      </c>
      <c r="S6">
        <f t="shared" si="6"/>
        <v>-665.95650000000001</v>
      </c>
      <c r="T6">
        <f t="shared" si="7"/>
        <v>-665.95650000000001</v>
      </c>
      <c r="V6">
        <v>425</v>
      </c>
      <c r="W6" s="1">
        <v>-3180410.4</v>
      </c>
      <c r="X6">
        <f t="shared" si="8"/>
        <v>-3180.4103999999998</v>
      </c>
      <c r="Y6">
        <f t="shared" si="9"/>
        <v>-636.08207999999991</v>
      </c>
    </row>
    <row r="7" spans="2:25" x14ac:dyDescent="0.35">
      <c r="B7">
        <v>525</v>
      </c>
      <c r="C7">
        <v>-440895.9</v>
      </c>
      <c r="D7">
        <f t="shared" si="0"/>
        <v>-440.89590000000004</v>
      </c>
      <c r="E7">
        <f t="shared" si="1"/>
        <v>-440.89590000000004</v>
      </c>
      <c r="G7">
        <v>525</v>
      </c>
      <c r="H7" s="1">
        <v>-1085322.6000000001</v>
      </c>
      <c r="I7">
        <f t="shared" si="2"/>
        <v>-1085.3226000000002</v>
      </c>
      <c r="J7">
        <f t="shared" si="3"/>
        <v>-361.77420000000006</v>
      </c>
      <c r="L7">
        <v>525</v>
      </c>
      <c r="M7" s="1">
        <v>-692987.1</v>
      </c>
      <c r="N7">
        <f t="shared" si="4"/>
        <v>-692.98709999999994</v>
      </c>
      <c r="O7">
        <f t="shared" si="5"/>
        <v>-692.98709999999994</v>
      </c>
      <c r="Q7">
        <v>525</v>
      </c>
      <c r="R7" s="1">
        <v>-648189.80000000005</v>
      </c>
      <c r="S7">
        <f t="shared" si="6"/>
        <v>-648.18979999999999</v>
      </c>
      <c r="T7">
        <f t="shared" si="7"/>
        <v>-648.18979999999999</v>
      </c>
      <c r="V7">
        <v>525</v>
      </c>
      <c r="W7" s="1">
        <v>-3094826.7</v>
      </c>
      <c r="X7">
        <f t="shared" si="8"/>
        <v>-3094.8267000000001</v>
      </c>
      <c r="Y7">
        <f t="shared" si="9"/>
        <v>-618.96533999999997</v>
      </c>
    </row>
    <row r="8" spans="2:25" x14ac:dyDescent="0.35">
      <c r="B8">
        <v>625</v>
      </c>
      <c r="C8">
        <v>-423272.5</v>
      </c>
      <c r="D8">
        <f t="shared" si="0"/>
        <v>-423.27249999999998</v>
      </c>
      <c r="E8">
        <f t="shared" si="1"/>
        <v>-423.27249999999998</v>
      </c>
      <c r="F8" s="1"/>
      <c r="G8">
        <v>625</v>
      </c>
      <c r="H8" s="1">
        <v>-1036846.7</v>
      </c>
      <c r="I8">
        <f t="shared" si="2"/>
        <v>-1036.8467000000001</v>
      </c>
      <c r="J8">
        <f t="shared" si="3"/>
        <v>-345.61556666666667</v>
      </c>
      <c r="L8">
        <v>625</v>
      </c>
      <c r="M8" s="1">
        <v>-675260</v>
      </c>
      <c r="N8">
        <f t="shared" si="4"/>
        <v>-675.26</v>
      </c>
      <c r="O8">
        <f t="shared" si="5"/>
        <v>-675.26</v>
      </c>
      <c r="Q8">
        <v>625</v>
      </c>
      <c r="R8" s="1">
        <v>-630654.6</v>
      </c>
      <c r="S8">
        <f t="shared" si="6"/>
        <v>-630.65459999999996</v>
      </c>
      <c r="T8">
        <f t="shared" si="7"/>
        <v>-630.65459999999996</v>
      </c>
      <c r="V8">
        <v>625</v>
      </c>
      <c r="W8" s="1">
        <v>-3010026.6</v>
      </c>
      <c r="X8">
        <f t="shared" si="8"/>
        <v>-3010.0266000000001</v>
      </c>
      <c r="Y8">
        <f t="shared" si="9"/>
        <v>-602.00531999999998</v>
      </c>
    </row>
    <row r="9" spans="2:25" x14ac:dyDescent="0.35">
      <c r="B9">
        <v>725</v>
      </c>
      <c r="C9">
        <v>-405835.1</v>
      </c>
      <c r="D9">
        <f t="shared" si="0"/>
        <v>-405.83509999999995</v>
      </c>
      <c r="E9">
        <f t="shared" si="1"/>
        <v>-405.83509999999995</v>
      </c>
      <c r="F9" s="1"/>
      <c r="G9">
        <v>725</v>
      </c>
      <c r="H9" s="1">
        <v>-988926.8</v>
      </c>
      <c r="I9">
        <f t="shared" si="2"/>
        <v>-988.92680000000007</v>
      </c>
      <c r="J9">
        <f t="shared" si="3"/>
        <v>-329.64226666666667</v>
      </c>
      <c r="L9">
        <v>725</v>
      </c>
      <c r="M9" s="1">
        <v>-657660.1</v>
      </c>
      <c r="N9">
        <f t="shared" si="4"/>
        <v>-657.66009999999994</v>
      </c>
      <c r="O9">
        <f t="shared" si="5"/>
        <v>-657.66009999999994</v>
      </c>
      <c r="Q9">
        <v>725</v>
      </c>
      <c r="R9" s="1">
        <v>-613358</v>
      </c>
      <c r="S9">
        <f t="shared" si="6"/>
        <v>-613.35799999999995</v>
      </c>
      <c r="T9">
        <f t="shared" si="7"/>
        <v>-613.35799999999995</v>
      </c>
      <c r="V9">
        <v>725</v>
      </c>
      <c r="W9" s="1">
        <v>-2925940.9</v>
      </c>
      <c r="X9">
        <f t="shared" si="8"/>
        <v>-2925.9409000000001</v>
      </c>
      <c r="Y9">
        <f t="shared" si="9"/>
        <v>-585.18817999999999</v>
      </c>
    </row>
    <row r="10" spans="2:25" x14ac:dyDescent="0.35">
      <c r="B10">
        <v>825</v>
      </c>
      <c r="C10">
        <v>-388579.6</v>
      </c>
      <c r="D10">
        <f t="shared" si="0"/>
        <v>-388.57959999999997</v>
      </c>
      <c r="E10">
        <f t="shared" si="1"/>
        <v>-388.57959999999997</v>
      </c>
      <c r="F10" s="1"/>
      <c r="G10">
        <v>800.85</v>
      </c>
      <c r="H10" s="1">
        <v>-952956.9</v>
      </c>
      <c r="I10">
        <f t="shared" si="2"/>
        <v>-952.95690000000002</v>
      </c>
      <c r="J10">
        <f t="shared" si="3"/>
        <v>-317.65230000000003</v>
      </c>
      <c r="L10">
        <v>825</v>
      </c>
      <c r="M10" s="1">
        <v>-640182</v>
      </c>
      <c r="N10">
        <f t="shared" si="4"/>
        <v>-640.18200000000002</v>
      </c>
      <c r="O10">
        <f t="shared" si="5"/>
        <v>-640.18200000000002</v>
      </c>
      <c r="Q10">
        <v>814.66</v>
      </c>
      <c r="R10" s="1">
        <v>-598059.4</v>
      </c>
      <c r="S10">
        <f t="shared" si="6"/>
        <v>-598.05939999999998</v>
      </c>
      <c r="T10">
        <f t="shared" si="7"/>
        <v>-598.05939999999998</v>
      </c>
      <c r="V10">
        <v>825</v>
      </c>
      <c r="W10" s="1">
        <v>-2842505.5</v>
      </c>
      <c r="X10">
        <f t="shared" si="8"/>
        <v>-2842.5055000000002</v>
      </c>
      <c r="Y10">
        <f t="shared" si="9"/>
        <v>-568.50110000000006</v>
      </c>
    </row>
    <row r="11" spans="2:25" x14ac:dyDescent="0.35">
      <c r="B11">
        <v>925</v>
      </c>
      <c r="C11">
        <v>-371503.3</v>
      </c>
      <c r="D11">
        <f t="shared" si="0"/>
        <v>-371.50329999999997</v>
      </c>
      <c r="E11">
        <f t="shared" si="1"/>
        <v>-371.50329999999997</v>
      </c>
      <c r="F11" s="1"/>
      <c r="G11">
        <v>825</v>
      </c>
      <c r="H11" s="1">
        <v>-943763.9</v>
      </c>
      <c r="I11">
        <f t="shared" si="2"/>
        <v>-943.76390000000004</v>
      </c>
      <c r="J11">
        <f t="shared" si="3"/>
        <v>-314.58796666666666</v>
      </c>
      <c r="L11">
        <v>925</v>
      </c>
      <c r="M11" s="1">
        <v>-622821.1</v>
      </c>
      <c r="N11">
        <f t="shared" si="4"/>
        <v>-622.8211</v>
      </c>
      <c r="O11">
        <f t="shared" si="5"/>
        <v>-622.8211</v>
      </c>
      <c r="Q11">
        <v>825</v>
      </c>
      <c r="R11" s="1">
        <v>-596340</v>
      </c>
      <c r="S11">
        <f t="shared" si="6"/>
        <v>-596.34</v>
      </c>
      <c r="T11">
        <f t="shared" si="7"/>
        <v>-596.34</v>
      </c>
      <c r="V11">
        <v>925</v>
      </c>
      <c r="W11" s="1">
        <v>-2759660.7</v>
      </c>
      <c r="X11">
        <f t="shared" si="8"/>
        <v>-2759.6607000000004</v>
      </c>
      <c r="Y11">
        <f t="shared" si="9"/>
        <v>-551.93214000000012</v>
      </c>
    </row>
    <row r="12" spans="2:25" x14ac:dyDescent="0.35">
      <c r="B12">
        <v>1000</v>
      </c>
      <c r="C12">
        <v>-358812.9</v>
      </c>
      <c r="D12">
        <f t="shared" si="0"/>
        <v>-358.81290000000001</v>
      </c>
      <c r="E12">
        <f t="shared" si="1"/>
        <v>-358.81290000000001</v>
      </c>
      <c r="F12" s="1"/>
      <c r="G12">
        <v>925</v>
      </c>
      <c r="H12" s="1">
        <v>-906193</v>
      </c>
      <c r="I12">
        <f t="shared" si="2"/>
        <v>-906.19299999999998</v>
      </c>
      <c r="J12">
        <f t="shared" si="3"/>
        <v>-302.06433333333331</v>
      </c>
      <c r="L12">
        <v>1000</v>
      </c>
      <c r="M12" s="1">
        <v>-609875</v>
      </c>
      <c r="N12">
        <f t="shared" si="4"/>
        <v>-609.875</v>
      </c>
      <c r="O12">
        <f t="shared" si="5"/>
        <v>-609.875</v>
      </c>
      <c r="Q12">
        <v>925</v>
      </c>
      <c r="R12">
        <v>-579852.80000000005</v>
      </c>
      <c r="S12">
        <f t="shared" si="6"/>
        <v>-579.8528</v>
      </c>
      <c r="T12">
        <f t="shared" si="7"/>
        <v>-579.8528</v>
      </c>
      <c r="V12">
        <v>1000</v>
      </c>
      <c r="W12" s="1">
        <v>-2697882.3</v>
      </c>
      <c r="X12">
        <f t="shared" si="8"/>
        <v>-2697.8822999999998</v>
      </c>
      <c r="Y12">
        <f t="shared" si="9"/>
        <v>-539.57646</v>
      </c>
    </row>
    <row r="13" spans="2:25" x14ac:dyDescent="0.35">
      <c r="F13" s="1"/>
      <c r="G13">
        <v>1000</v>
      </c>
      <c r="H13" s="1">
        <v>-878501.1</v>
      </c>
      <c r="I13">
        <f t="shared" si="2"/>
        <v>-878.50109999999995</v>
      </c>
      <c r="J13">
        <f t="shared" si="3"/>
        <v>-292.83369999999996</v>
      </c>
      <c r="Q13">
        <v>1000</v>
      </c>
      <c r="R13">
        <v>-567628.30000000005</v>
      </c>
      <c r="S13">
        <f t="shared" si="6"/>
        <v>-567.62830000000008</v>
      </c>
      <c r="T13">
        <f t="shared" si="7"/>
        <v>-567.62830000000008</v>
      </c>
    </row>
    <row r="14" spans="2:25" x14ac:dyDescent="0.35">
      <c r="F14" s="1"/>
    </row>
    <row r="15" spans="2:25" x14ac:dyDescent="0.35">
      <c r="F15" s="1"/>
    </row>
    <row r="16" spans="2:25" x14ac:dyDescent="0.35">
      <c r="F16" s="1"/>
    </row>
    <row r="17" spans="6:6" x14ac:dyDescent="0.35">
      <c r="F17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Wande Cairang</dc:creator>
  <cp:lastModifiedBy>Wande Cairang</cp:lastModifiedBy>
  <dcterms:created xsi:type="dcterms:W3CDTF">2025-08-25T00:48:31Z</dcterms:created>
  <dcterms:modified xsi:type="dcterms:W3CDTF">2026-05-30T01:14:21Z</dcterms:modified>
</cp:coreProperties>
</file>