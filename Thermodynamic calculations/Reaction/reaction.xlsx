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T Dropbox\Wande Cairang\XJTU research\Mo-Nb\Draft\XRD\"/>
    </mc:Choice>
  </mc:AlternateContent>
  <xr:revisionPtr revIDLastSave="0" documentId="8_{88C84491-1CC1-4A66-9882-677448F09F6D}" xr6:coauthVersionLast="47" xr6:coauthVersionMax="47" xr10:uidLastSave="{00000000-0000-0000-0000-000000000000}"/>
  <bookViews>
    <workbookView xWindow="28680" yWindow="-3450" windowWidth="29040" windowHeight="15720" xr2:uid="{0A61118D-6C91-4A79-B918-AA582F75CA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2" i="1"/>
  <c r="P3" i="1"/>
  <c r="P4" i="1"/>
  <c r="P5" i="1"/>
  <c r="P6" i="1"/>
  <c r="P7" i="1"/>
  <c r="P8" i="1"/>
  <c r="P9" i="1"/>
  <c r="P10" i="1"/>
  <c r="P11" i="1"/>
  <c r="P12" i="1"/>
  <c r="P13" i="1"/>
  <c r="P2" i="1"/>
  <c r="L3" i="1"/>
  <c r="L4" i="1"/>
  <c r="L5" i="1"/>
  <c r="L6" i="1"/>
  <c r="L7" i="1"/>
  <c r="L8" i="1"/>
  <c r="L9" i="1"/>
  <c r="L10" i="1"/>
  <c r="L11" i="1"/>
  <c r="L12" i="1"/>
  <c r="L2" i="1"/>
  <c r="H3" i="1"/>
  <c r="H4" i="1"/>
  <c r="H5" i="1"/>
  <c r="H6" i="1"/>
  <c r="H7" i="1"/>
  <c r="H8" i="1"/>
  <c r="H9" i="1"/>
  <c r="H10" i="1"/>
  <c r="H11" i="1"/>
  <c r="H12" i="1"/>
  <c r="H13" i="1"/>
  <c r="H2" i="1"/>
  <c r="D3" i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<sst xmlns="http://schemas.openxmlformats.org/spreadsheetml/2006/main" count="15" uniqueCount="6">
  <si>
    <t>MoO2</t>
  </si>
  <si>
    <t xml:space="preserve">Temperature </t>
  </si>
  <si>
    <t>MoO3</t>
  </si>
  <si>
    <t>NbO</t>
  </si>
  <si>
    <t>NbO2</t>
  </si>
  <si>
    <t>Nb2O5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</si>
</sst>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2705-0E02-4DD3-9BD3-B4805722494C}">
  <dimension ref="B1:T17"/>
  <sheetViews>
    <sheetView tabSelected="1" workbookViewId="0">
      <selection activeCell="L19" sqref="L19"/>
    </sheetView>
  </sheetViews>
  <sheetFormatPr defaultRowHeight="15" x14ac:dyDescent="0.25"/>
  <cols>
    <col min="2" max="2" width="19.7109375" customWidth="1"/>
    <col min="10" max="10" width="14" customWidth="1"/>
    <col min="14" max="14" width="10.85546875" customWidth="1"/>
    <col min="18" max="18" width="10.85546875" customWidth="1"/>
  </cols>
  <sheetData>
    <row r="1" spans="2:20" x14ac:dyDescent="0.25">
      <c r="B1" t="s">
        <v>1</v>
      </c>
      <c r="C1" t="s">
        <v>0</v>
      </c>
      <c r="D1" t="s">
        <v>0</v>
      </c>
      <c r="F1" t="s">
        <v>1</v>
      </c>
      <c r="G1" t="s">
        <v>2</v>
      </c>
      <c r="H1" t="s">
        <v>2</v>
      </c>
      <c r="J1" t="s">
        <v>1</v>
      </c>
      <c r="K1" t="s">
        <v>3</v>
      </c>
      <c r="L1" t="s">
        <v>3</v>
      </c>
      <c r="N1" t="s">
        <v>1</v>
      </c>
      <c r="O1" t="s">
        <v>4</v>
      </c>
      <c r="P1" t="s">
        <v>4</v>
      </c>
      <c r="R1" t="s">
        <v>1</v>
      </c>
      <c r="S1" t="s">
        <v>5</v>
      </c>
      <c r="T1" t="s">
        <v>5</v>
      </c>
    </row>
    <row r="2" spans="2:20" x14ac:dyDescent="0.25">
      <c r="B2">
        <v>25</v>
      </c>
      <c r="C2">
        <v>-532043.19999999995</v>
      </c>
      <c r="D2">
        <f>C2/1000</f>
        <v>-532.04319999999996</v>
      </c>
      <c r="F2">
        <v>25</v>
      </c>
      <c r="G2">
        <v>-1336255.3</v>
      </c>
      <c r="H2">
        <f>G2/1000</f>
        <v>-1336.2553</v>
      </c>
      <c r="J2">
        <v>25</v>
      </c>
      <c r="K2">
        <v>-783878.7</v>
      </c>
      <c r="L2">
        <f>K2/1000</f>
        <v>-783.87869999999998</v>
      </c>
      <c r="N2">
        <v>25</v>
      </c>
      <c r="O2">
        <v>-739207.3</v>
      </c>
      <c r="P2">
        <f>O2/1000</f>
        <v>-739.20730000000003</v>
      </c>
      <c r="R2">
        <v>25</v>
      </c>
      <c r="S2">
        <v>-3531796.1</v>
      </c>
      <c r="T2">
        <f>S2/1000</f>
        <v>-3531.7961</v>
      </c>
    </row>
    <row r="3" spans="2:20" x14ac:dyDescent="0.25">
      <c r="B3">
        <v>125</v>
      </c>
      <c r="C3">
        <v>-513398.2</v>
      </c>
      <c r="D3">
        <f t="shared" ref="D3:D12" si="0">C3/1000</f>
        <v>-513.39819999999997</v>
      </c>
      <c r="F3">
        <v>125</v>
      </c>
      <c r="G3">
        <v>-1284858.5</v>
      </c>
      <c r="H3">
        <f t="shared" ref="H3:H13" si="1">G3/1000</f>
        <v>-1284.8585</v>
      </c>
      <c r="J3">
        <v>125</v>
      </c>
      <c r="K3">
        <v>-765362.3</v>
      </c>
      <c r="L3">
        <f t="shared" ref="L3:L12" si="2">K3/1000</f>
        <v>-765.3623</v>
      </c>
      <c r="N3">
        <v>125</v>
      </c>
      <c r="O3">
        <v>-720585.8</v>
      </c>
      <c r="P3">
        <f t="shared" ref="P3:P13" si="3">O3/1000</f>
        <v>-720.58580000000006</v>
      </c>
      <c r="R3">
        <v>125</v>
      </c>
      <c r="S3">
        <v>-3442540.8</v>
      </c>
      <c r="T3">
        <f t="shared" ref="T3:T12" si="4">S3/1000</f>
        <v>-3442.5407999999998</v>
      </c>
    </row>
    <row r="4" spans="2:20" x14ac:dyDescent="0.25">
      <c r="B4">
        <v>225</v>
      </c>
      <c r="C4">
        <v>-494953.6</v>
      </c>
      <c r="D4">
        <f t="shared" si="0"/>
        <v>-494.95359999999999</v>
      </c>
      <c r="F4">
        <v>225</v>
      </c>
      <c r="G4">
        <v>-1234090.1000000001</v>
      </c>
      <c r="H4">
        <f t="shared" si="1"/>
        <v>-1234.0901000000001</v>
      </c>
      <c r="J4">
        <v>225</v>
      </c>
      <c r="K4" s="1">
        <v>-747022.5</v>
      </c>
      <c r="L4">
        <f t="shared" si="2"/>
        <v>-747.02250000000004</v>
      </c>
      <c r="N4">
        <v>225</v>
      </c>
      <c r="O4" s="1">
        <v>-702159.9</v>
      </c>
      <c r="P4">
        <f t="shared" si="3"/>
        <v>-702.15989999999999</v>
      </c>
      <c r="R4">
        <v>225</v>
      </c>
      <c r="S4" s="1">
        <v>-3354212.5</v>
      </c>
      <c r="T4">
        <f t="shared" si="4"/>
        <v>-3354.2125000000001</v>
      </c>
    </row>
    <row r="5" spans="2:20" x14ac:dyDescent="0.25">
      <c r="B5">
        <v>325</v>
      </c>
      <c r="C5">
        <v>-476727.1</v>
      </c>
      <c r="D5">
        <f t="shared" si="0"/>
        <v>-476.72709999999995</v>
      </c>
      <c r="F5">
        <v>325</v>
      </c>
      <c r="G5">
        <v>-1183932.1000000001</v>
      </c>
      <c r="H5">
        <f t="shared" si="1"/>
        <v>-1183.9321</v>
      </c>
      <c r="J5">
        <v>325</v>
      </c>
      <c r="K5" s="1">
        <v>-728856.4</v>
      </c>
      <c r="L5">
        <f t="shared" si="2"/>
        <v>-728.85640000000001</v>
      </c>
      <c r="N5">
        <v>325</v>
      </c>
      <c r="O5" s="1">
        <v>-683948.3</v>
      </c>
      <c r="P5">
        <f t="shared" si="3"/>
        <v>-683.94830000000002</v>
      </c>
      <c r="R5">
        <v>325</v>
      </c>
      <c r="S5" s="1">
        <v>-3266850.3</v>
      </c>
      <c r="T5">
        <f t="shared" si="4"/>
        <v>-3266.8502999999996</v>
      </c>
    </row>
    <row r="6" spans="2:20" x14ac:dyDescent="0.25">
      <c r="B6">
        <v>425</v>
      </c>
      <c r="C6">
        <v>-458711.3</v>
      </c>
      <c r="D6">
        <f t="shared" si="0"/>
        <v>-458.71129999999999</v>
      </c>
      <c r="F6">
        <v>425</v>
      </c>
      <c r="G6">
        <v>-1134349.3999999999</v>
      </c>
      <c r="H6">
        <f t="shared" si="1"/>
        <v>-1134.3493999999998</v>
      </c>
      <c r="J6">
        <v>425</v>
      </c>
      <c r="K6" s="1">
        <v>-710849.2</v>
      </c>
      <c r="L6">
        <f t="shared" si="2"/>
        <v>-710.8492</v>
      </c>
      <c r="N6">
        <v>425</v>
      </c>
      <c r="O6" s="1">
        <v>-665956.5</v>
      </c>
      <c r="P6">
        <f t="shared" si="3"/>
        <v>-665.95650000000001</v>
      </c>
      <c r="R6">
        <v>425</v>
      </c>
      <c r="S6" s="1">
        <v>-3180410.4</v>
      </c>
      <c r="T6">
        <f t="shared" si="4"/>
        <v>-3180.4103999999998</v>
      </c>
    </row>
    <row r="7" spans="2:20" x14ac:dyDescent="0.25">
      <c r="B7">
        <v>525</v>
      </c>
      <c r="C7">
        <v>-440895.9</v>
      </c>
      <c r="D7">
        <f t="shared" si="0"/>
        <v>-440.89590000000004</v>
      </c>
      <c r="F7">
        <v>525</v>
      </c>
      <c r="G7" s="1">
        <v>-1085322.6000000001</v>
      </c>
      <c r="H7">
        <f t="shared" si="1"/>
        <v>-1085.3226000000002</v>
      </c>
      <c r="J7">
        <v>525</v>
      </c>
      <c r="K7" s="1">
        <v>-692987.1</v>
      </c>
      <c r="L7">
        <f t="shared" si="2"/>
        <v>-692.98709999999994</v>
      </c>
      <c r="N7">
        <v>525</v>
      </c>
      <c r="O7" s="1">
        <v>-648189.80000000005</v>
      </c>
      <c r="P7">
        <f t="shared" si="3"/>
        <v>-648.18979999999999</v>
      </c>
      <c r="R7">
        <v>525</v>
      </c>
      <c r="S7" s="1">
        <v>-3094826.7</v>
      </c>
      <c r="T7">
        <f t="shared" si="4"/>
        <v>-3094.8267000000001</v>
      </c>
    </row>
    <row r="8" spans="2:20" x14ac:dyDescent="0.25">
      <c r="B8">
        <v>625</v>
      </c>
      <c r="C8">
        <v>-423272.5</v>
      </c>
      <c r="D8">
        <f t="shared" si="0"/>
        <v>-423.27249999999998</v>
      </c>
      <c r="E8" s="1"/>
      <c r="F8">
        <v>625</v>
      </c>
      <c r="G8" s="1">
        <v>-1036846.7</v>
      </c>
      <c r="H8">
        <f t="shared" si="1"/>
        <v>-1036.8467000000001</v>
      </c>
      <c r="J8">
        <v>625</v>
      </c>
      <c r="K8" s="1">
        <v>-675260</v>
      </c>
      <c r="L8">
        <f t="shared" si="2"/>
        <v>-675.26</v>
      </c>
      <c r="N8">
        <v>625</v>
      </c>
      <c r="O8" s="1">
        <v>-630654.6</v>
      </c>
      <c r="P8">
        <f t="shared" si="3"/>
        <v>-630.65459999999996</v>
      </c>
      <c r="R8">
        <v>625</v>
      </c>
      <c r="S8" s="1">
        <v>-3010026.6</v>
      </c>
      <c r="T8">
        <f t="shared" si="4"/>
        <v>-3010.0266000000001</v>
      </c>
    </row>
    <row r="9" spans="2:20" x14ac:dyDescent="0.25">
      <c r="B9">
        <v>725</v>
      </c>
      <c r="C9">
        <v>-405835.1</v>
      </c>
      <c r="D9">
        <f t="shared" si="0"/>
        <v>-405.83509999999995</v>
      </c>
      <c r="E9" s="1"/>
      <c r="F9">
        <v>725</v>
      </c>
      <c r="G9" s="1">
        <v>-988926.8</v>
      </c>
      <c r="H9">
        <f t="shared" si="1"/>
        <v>-988.92680000000007</v>
      </c>
      <c r="J9">
        <v>725</v>
      </c>
      <c r="K9" s="1">
        <v>-657660.1</v>
      </c>
      <c r="L9">
        <f t="shared" si="2"/>
        <v>-657.66009999999994</v>
      </c>
      <c r="N9">
        <v>725</v>
      </c>
      <c r="O9" s="1">
        <v>-613358</v>
      </c>
      <c r="P9">
        <f t="shared" si="3"/>
        <v>-613.35799999999995</v>
      </c>
      <c r="R9">
        <v>725</v>
      </c>
      <c r="S9" s="1">
        <v>-2925940.9</v>
      </c>
      <c r="T9">
        <f t="shared" si="4"/>
        <v>-2925.9409000000001</v>
      </c>
    </row>
    <row r="10" spans="2:20" x14ac:dyDescent="0.25">
      <c r="B10">
        <v>825</v>
      </c>
      <c r="C10">
        <v>-388579.6</v>
      </c>
      <c r="D10">
        <f t="shared" si="0"/>
        <v>-388.57959999999997</v>
      </c>
      <c r="E10" s="1"/>
      <c r="F10">
        <v>800.85</v>
      </c>
      <c r="G10" s="1">
        <v>-952956.9</v>
      </c>
      <c r="H10">
        <f t="shared" si="1"/>
        <v>-952.95690000000002</v>
      </c>
      <c r="J10">
        <v>825</v>
      </c>
      <c r="K10" s="1">
        <v>-640182</v>
      </c>
      <c r="L10">
        <f t="shared" si="2"/>
        <v>-640.18200000000002</v>
      </c>
      <c r="N10">
        <v>814.66</v>
      </c>
      <c r="O10" s="1">
        <v>-598059.4</v>
      </c>
      <c r="P10">
        <f t="shared" si="3"/>
        <v>-598.05939999999998</v>
      </c>
      <c r="R10">
        <v>825</v>
      </c>
      <c r="S10" s="1">
        <v>-2842505.5</v>
      </c>
      <c r="T10">
        <f t="shared" si="4"/>
        <v>-2842.5055000000002</v>
      </c>
    </row>
    <row r="11" spans="2:20" x14ac:dyDescent="0.25">
      <c r="B11">
        <v>925</v>
      </c>
      <c r="C11">
        <v>-371503.3</v>
      </c>
      <c r="D11">
        <f t="shared" si="0"/>
        <v>-371.50329999999997</v>
      </c>
      <c r="E11" s="1"/>
      <c r="F11">
        <v>825</v>
      </c>
      <c r="G11" s="1">
        <v>-943763.9</v>
      </c>
      <c r="H11">
        <f t="shared" si="1"/>
        <v>-943.76390000000004</v>
      </c>
      <c r="J11">
        <v>925</v>
      </c>
      <c r="K11" s="1">
        <v>-622821.1</v>
      </c>
      <c r="L11">
        <f t="shared" si="2"/>
        <v>-622.8211</v>
      </c>
      <c r="N11">
        <v>825</v>
      </c>
      <c r="O11" s="1">
        <v>-596340</v>
      </c>
      <c r="P11">
        <f t="shared" si="3"/>
        <v>-596.34</v>
      </c>
      <c r="R11">
        <v>925</v>
      </c>
      <c r="S11" s="1">
        <v>-2759660.7</v>
      </c>
      <c r="T11">
        <f t="shared" si="4"/>
        <v>-2759.6607000000004</v>
      </c>
    </row>
    <row r="12" spans="2:20" x14ac:dyDescent="0.25">
      <c r="B12">
        <v>1000</v>
      </c>
      <c r="C12">
        <v>-358812.9</v>
      </c>
      <c r="D12">
        <f t="shared" si="0"/>
        <v>-358.81290000000001</v>
      </c>
      <c r="E12" s="1"/>
      <c r="F12">
        <v>925</v>
      </c>
      <c r="G12" s="1">
        <v>-906193</v>
      </c>
      <c r="H12">
        <f t="shared" si="1"/>
        <v>-906.19299999999998</v>
      </c>
      <c r="J12">
        <v>1000</v>
      </c>
      <c r="K12" s="1">
        <v>-609875</v>
      </c>
      <c r="L12">
        <f t="shared" si="2"/>
        <v>-609.875</v>
      </c>
      <c r="N12">
        <v>925</v>
      </c>
      <c r="O12">
        <v>-579852.80000000005</v>
      </c>
      <c r="P12">
        <f t="shared" si="3"/>
        <v>-579.8528</v>
      </c>
      <c r="R12">
        <v>1000</v>
      </c>
      <c r="S12" s="1">
        <v>-2697882.3</v>
      </c>
      <c r="T12">
        <f t="shared" si="4"/>
        <v>-2697.8822999999998</v>
      </c>
    </row>
    <row r="13" spans="2:20" x14ac:dyDescent="0.25">
      <c r="E13" s="1"/>
      <c r="F13">
        <v>1000</v>
      </c>
      <c r="G13" s="1">
        <v>-878501.1</v>
      </c>
      <c r="H13">
        <f t="shared" si="1"/>
        <v>-878.50109999999995</v>
      </c>
      <c r="N13">
        <v>1000</v>
      </c>
      <c r="O13">
        <v>-567628.30000000005</v>
      </c>
      <c r="P13">
        <f t="shared" si="3"/>
        <v>-567.62830000000008</v>
      </c>
    </row>
    <row r="14" spans="2:20" x14ac:dyDescent="0.25">
      <c r="E14" s="1"/>
    </row>
    <row r="15" spans="2:20" x14ac:dyDescent="0.25">
      <c r="E15" s="1"/>
    </row>
    <row r="16" spans="2:20" x14ac:dyDescent="0.25">
      <c r="E16" s="1"/>
    </row>
    <row r="17" spans="5:5" x14ac:dyDescent="0.25">
      <c r="E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2025-08-25T00:48:31Z</dcterms:created>
  <dcterms:modified xsi:type="dcterms:W3CDTF">2025-08-25T01:17:26Z</dcterms:modified>
</cp:coreProperties>
</file>