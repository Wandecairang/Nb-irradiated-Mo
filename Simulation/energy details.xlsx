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\Documents\GitHub\Nb-irradiated-Mo\Simulation\"/>
    </mc:Choice>
  </mc:AlternateContent>
  <xr:revisionPtr revIDLastSave="0" documentId="13_ncr:1_{6560FFEE-E5B9-4763-9586-96A3B3F48A3D}" xr6:coauthVersionLast="47" xr6:coauthVersionMax="47" xr10:uidLastSave="{00000000-0000-0000-0000-000000000000}"/>
  <bookViews>
    <workbookView xWindow="38290" yWindow="-110" windowWidth="38620" windowHeight="21100" xr2:uid="{94C7064E-809E-475A-B3EA-883B2D7F6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9" i="1"/>
  <c r="E5" i="1"/>
  <c r="E8" i="1"/>
  <c r="C9" i="1"/>
  <c r="B15" i="1"/>
  <c r="C8" i="1" s="1"/>
  <c r="C3" i="1"/>
  <c r="B17" i="1"/>
  <c r="B16" i="1"/>
  <c r="C5" i="1" l="1"/>
</calcChain>
</file>

<file path=xl/sharedStrings.xml><?xml version="1.0" encoding="utf-8"?>
<sst xmlns="http://schemas.openxmlformats.org/spreadsheetml/2006/main" count="21" uniqueCount="20">
  <si>
    <t>X+Slab_Mo</t>
  </si>
  <si>
    <t>Slab_Mo</t>
  </si>
  <si>
    <t>X+Slab_MoNb</t>
  </si>
  <si>
    <t>Slab_MoNb</t>
  </si>
  <si>
    <t>Slab_Vac_Mo</t>
  </si>
  <si>
    <t>Slab_Vac_Nb</t>
  </si>
  <si>
    <t>surface area in A</t>
  </si>
  <si>
    <t>Slab_Mo_unrex</t>
  </si>
  <si>
    <t>Slab_MoNb_unrex</t>
  </si>
  <si>
    <t>Slab_Vac_Mo_unrex</t>
  </si>
  <si>
    <t>Slab_Vac_Nb_unrex</t>
  </si>
  <si>
    <t>Energy</t>
  </si>
  <si>
    <t>X+Slab_Vac_Mo</t>
  </si>
  <si>
    <t>X+Slab_Vac_Nb</t>
  </si>
  <si>
    <t xml:space="preserve">1 oxygen </t>
  </si>
  <si>
    <t>1 Nb</t>
  </si>
  <si>
    <t>100 surface</t>
  </si>
  <si>
    <t>110 surface</t>
  </si>
  <si>
    <t>Adorption energy for 100</t>
  </si>
  <si>
    <t>Adorption energy for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</si>
</sst>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ADFF-A818-4131-93AF-70EA806D5CE2}">
  <dimension ref="A1:E17"/>
  <sheetViews>
    <sheetView tabSelected="1" zoomScale="235" zoomScaleNormal="235" workbookViewId="0">
      <selection activeCell="E2" sqref="E2"/>
    </sheetView>
  </sheetViews>
  <sheetFormatPr defaultRowHeight="14.5" x14ac:dyDescent="0.35"/>
  <cols>
    <col min="1" max="1" width="23.08984375" customWidth="1"/>
    <col min="2" max="2" width="23.26953125" customWidth="1"/>
    <col min="3" max="3" width="24.1796875" customWidth="1"/>
    <col min="4" max="4" width="29.36328125" customWidth="1"/>
    <col min="5" max="5" width="22" customWidth="1"/>
    <col min="6" max="6" width="26" customWidth="1"/>
    <col min="9" max="9" width="24.26953125" customWidth="1"/>
    <col min="10" max="10" width="20" customWidth="1"/>
    <col min="11" max="11" width="29.81640625" customWidth="1"/>
    <col min="12" max="12" width="16.1796875" customWidth="1"/>
  </cols>
  <sheetData>
    <row r="1" spans="1:5" x14ac:dyDescent="0.35">
      <c r="A1" t="s">
        <v>16</v>
      </c>
      <c r="B1" t="s">
        <v>11</v>
      </c>
      <c r="C1" t="s">
        <v>18</v>
      </c>
      <c r="D1" t="s">
        <v>17</v>
      </c>
      <c r="E1" t="s">
        <v>19</v>
      </c>
    </row>
    <row r="2" spans="1:5" x14ac:dyDescent="0.35">
      <c r="A2" t="s">
        <v>1</v>
      </c>
      <c r="B2">
        <v>-651.20873044999996</v>
      </c>
      <c r="D2">
        <v>-1135.59630214</v>
      </c>
    </row>
    <row r="3" spans="1:5" x14ac:dyDescent="0.35">
      <c r="A3" t="s">
        <v>0</v>
      </c>
      <c r="B3">
        <v>-659.99094259000003</v>
      </c>
      <c r="C3">
        <f>B3-B2-B15</f>
        <v>-4.3803987750000699</v>
      </c>
      <c r="D3">
        <v>-1144.65321264</v>
      </c>
      <c r="E3">
        <f>D3-D2-B15</f>
        <v>-4.6550971349999584</v>
      </c>
    </row>
    <row r="4" spans="1:5" x14ac:dyDescent="0.35">
      <c r="A4" t="s">
        <v>3</v>
      </c>
      <c r="B4">
        <v>-650.8640848</v>
      </c>
      <c r="D4">
        <v>-1135.1296911899999</v>
      </c>
    </row>
    <row r="5" spans="1:5" x14ac:dyDescent="0.35">
      <c r="A5" t="s">
        <v>2</v>
      </c>
      <c r="B5">
        <v>-660.10005779999995</v>
      </c>
      <c r="C5">
        <f>B5-B4-B15</f>
        <v>-4.8341596349999447</v>
      </c>
      <c r="D5">
        <v>-1144.78935116</v>
      </c>
      <c r="E5">
        <f>D5-B15-D4</f>
        <v>-5.257846605000168</v>
      </c>
    </row>
    <row r="6" spans="1:5" x14ac:dyDescent="0.35">
      <c r="A6" t="s">
        <v>4</v>
      </c>
      <c r="B6">
        <v>-639.62876359999996</v>
      </c>
      <c r="D6">
        <v>-1122.6623485800001</v>
      </c>
    </row>
    <row r="7" spans="1:5" x14ac:dyDescent="0.35">
      <c r="A7" t="s">
        <v>5</v>
      </c>
      <c r="B7">
        <v>-639.90895546000002</v>
      </c>
      <c r="D7">
        <v>-1122.81479631</v>
      </c>
    </row>
    <row r="8" spans="1:5" x14ac:dyDescent="0.35">
      <c r="A8" t="s">
        <v>12</v>
      </c>
      <c r="B8">
        <v>-649.3936903</v>
      </c>
      <c r="C8">
        <f>B8-B6-B15</f>
        <v>-5.3631133350000466</v>
      </c>
      <c r="D8" s="2">
        <v>-1132.8073720800001</v>
      </c>
      <c r="E8" s="2">
        <f>D8-B15-D6</f>
        <v>-5.7432101350000266</v>
      </c>
    </row>
    <row r="9" spans="1:5" x14ac:dyDescent="0.35">
      <c r="A9" t="s">
        <v>13</v>
      </c>
      <c r="B9">
        <v>-649.30764750000003</v>
      </c>
      <c r="C9">
        <f>B9-B7-B15</f>
        <v>-4.9968786750000147</v>
      </c>
      <c r="D9" s="2">
        <v>-1132.16262353</v>
      </c>
      <c r="E9" s="2">
        <f>D9-B15-D7</f>
        <v>-4.9460138550000465</v>
      </c>
    </row>
    <row r="10" spans="1:5" x14ac:dyDescent="0.35">
      <c r="A10" t="s">
        <v>6</v>
      </c>
      <c r="B10">
        <v>90.219594456166405</v>
      </c>
      <c r="D10" s="2"/>
    </row>
    <row r="11" spans="1:5" x14ac:dyDescent="0.35">
      <c r="A11" t="s">
        <v>7</v>
      </c>
      <c r="B11" s="1">
        <v>-649.68966</v>
      </c>
      <c r="D11" s="2"/>
    </row>
    <row r="12" spans="1:5" x14ac:dyDescent="0.35">
      <c r="A12" t="s">
        <v>8</v>
      </c>
      <c r="B12" s="1">
        <v>-650.42069000000004</v>
      </c>
      <c r="D12" s="2"/>
    </row>
    <row r="13" spans="1:5" x14ac:dyDescent="0.35">
      <c r="A13" t="s">
        <v>9</v>
      </c>
      <c r="B13" s="1">
        <v>-639.38161000000002</v>
      </c>
      <c r="D13" s="2"/>
    </row>
    <row r="14" spans="1:5" x14ac:dyDescent="0.35">
      <c r="A14" t="s">
        <v>10</v>
      </c>
      <c r="B14" s="1">
        <v>-639.38161000000002</v>
      </c>
      <c r="D14" s="2"/>
    </row>
    <row r="15" spans="1:5" x14ac:dyDescent="0.35">
      <c r="A15" t="s">
        <v>14</v>
      </c>
      <c r="B15">
        <f>C15/2</f>
        <v>-4.4018133649999998</v>
      </c>
      <c r="C15">
        <v>-8.8036267299999995</v>
      </c>
      <c r="D15" s="2"/>
    </row>
    <row r="16" spans="1:5" x14ac:dyDescent="0.35">
      <c r="A16" t="s">
        <v>15</v>
      </c>
      <c r="B16">
        <f>-20.49858634/2</f>
        <v>-10.24929317</v>
      </c>
    </row>
    <row r="17" spans="1:2" x14ac:dyDescent="0.35">
      <c r="A17" t="s">
        <v>14</v>
      </c>
      <c r="B17">
        <f>-39.53960083/8</f>
        <v>-4.9424501037499997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2025-08-31T01:32:30Z</dcterms:created>
  <dcterms:modified xsi:type="dcterms:W3CDTF">2026-08-11T01:47:18Z</dcterms:modified>
</cp:coreProperties>
</file>